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使い方" sheetId="1" state="visible" r:id="rId3"/>
    <sheet name="アタックリスト" sheetId="2" state="visible" r:id="rId4"/>
    <sheet name="サマリー" sheetId="3" state="visible" r:id="rId5"/>
    <sheet name="LIFE X概要・トーク" sheetId="4" state="visible" r:id="rId6"/>
    <sheet name="除外_既存加盟店" sheetId="5" state="visible" r:id="rId7"/>
  </sheets>
  <definedNames>
    <definedName function="false" hidden="true" localSheetId="1" name="_xlnm._FilterDatabase" vbProcedure="false">アタックリスト!$A$1:$R$105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L1" authorId="0">
      <text>
        <r>
          <rPr>
            <sz val="10"/>
            <rFont val="WenQuanYi Zen Hei"/>
            <family val="2"/>
          </rPr>
          <t xml:space="preserve">黄色の列（担当者〜メモ）が入力欄です。</t>
        </r>
      </text>
    </comment>
  </commentList>
</comments>
</file>

<file path=xl/sharedStrings.xml><?xml version="1.0" encoding="utf-8"?>
<sst xmlns="http://schemas.openxmlformats.org/spreadsheetml/2006/main" count="1049" uniqueCount="654">
  <si>
    <t xml:space="preserve">■ このファイルの使い方</t>
  </si>
  <si>
    <r>
      <rPr>
        <sz val="10"/>
        <rFont val="Arial"/>
        <family val="0"/>
        <charset val="1"/>
      </rPr>
      <t xml:space="preserve">1. </t>
    </r>
    <r>
      <rPr>
        <sz val="10"/>
        <rFont val="WenQuanYi Zen Hei"/>
        <family val="2"/>
      </rPr>
      <t xml:space="preserve">『アタックリスト』の黄色の列（担当者〜メモ）が入力欄です。ステータスはプルダウンから選んでください。</t>
    </r>
  </si>
  <si>
    <r>
      <rPr>
        <sz val="10"/>
        <rFont val="Arial"/>
        <family val="0"/>
        <charset val="1"/>
      </rPr>
      <t xml:space="preserve">2. </t>
    </r>
    <r>
      <rPr>
        <sz val="10"/>
        <rFont val="WenQuanYi Zen Hei"/>
        <family val="2"/>
      </rPr>
      <t xml:space="preserve">優先度：</t>
    </r>
    <r>
      <rPr>
        <sz val="10"/>
        <rFont val="Arial"/>
        <family val="0"/>
        <charset val="1"/>
      </rPr>
      <t xml:space="preserve">A</t>
    </r>
    <r>
      <rPr>
        <sz val="10"/>
        <rFont val="WenQuanYi Zen Hei"/>
        <family val="2"/>
      </rPr>
      <t xml:space="preserve">＝規格商品がなく中規模で集客課題が見える／</t>
    </r>
    <r>
      <rPr>
        <sz val="10"/>
        <rFont val="Arial"/>
        <family val="0"/>
        <charset val="1"/>
      </rPr>
      <t xml:space="preserve">B</t>
    </r>
    <r>
      <rPr>
        <sz val="10"/>
        <rFont val="WenQuanYi Zen Hei"/>
        <family val="2"/>
      </rPr>
      <t xml:space="preserve">＝適合度が中くらい／</t>
    </r>
    <r>
      <rPr>
        <sz val="10"/>
        <rFont val="Arial"/>
        <family val="0"/>
        <charset val="1"/>
      </rPr>
      <t xml:space="preserve">C</t>
    </r>
    <r>
      <rPr>
        <sz val="10"/>
        <rFont val="WenQuanYi Zen Hei"/>
        <family val="2"/>
      </rPr>
      <t xml:space="preserve">＝情報不足、または他</t>
    </r>
    <r>
      <rPr>
        <sz val="10"/>
        <rFont val="Arial"/>
        <family val="0"/>
        <charset val="1"/>
      </rPr>
      <t xml:space="preserve">FC</t>
    </r>
    <r>
      <rPr>
        <sz val="10"/>
        <rFont val="WenQuanYi Zen Hei"/>
        <family val="2"/>
      </rPr>
      <t xml:space="preserve">加盟済み</t>
    </r>
  </si>
  <si>
    <r>
      <rPr>
        <sz val="10"/>
        <rFont val="Arial"/>
        <family val="0"/>
        <charset val="1"/>
      </rPr>
      <t xml:space="preserve">3. </t>
    </r>
    <r>
      <rPr>
        <sz val="10"/>
        <rFont val="WenQuanYi Zen Hei"/>
        <family val="2"/>
      </rPr>
      <t xml:space="preserve">次回アクション日が今日以前で、まだ完了していない行は赤く表示されます。</t>
    </r>
  </si>
  <si>
    <r>
      <rPr>
        <sz val="10"/>
        <rFont val="Arial"/>
        <family val="0"/>
        <charset val="1"/>
      </rPr>
      <t xml:space="preserve">4. </t>
    </r>
    <r>
      <rPr>
        <sz val="10"/>
        <rFont val="WenQuanYi Zen Hei"/>
        <family val="2"/>
      </rPr>
      <t xml:space="preserve">見送り・対象外にした行はグレー表示になります。</t>
    </r>
  </si>
  <si>
    <r>
      <rPr>
        <sz val="10"/>
        <rFont val="Arial"/>
        <family val="0"/>
        <charset val="1"/>
      </rPr>
      <t xml:space="preserve">5. </t>
    </r>
    <r>
      <rPr>
        <sz val="10"/>
        <rFont val="WenQuanYi Zen Hei"/>
        <family val="2"/>
      </rPr>
      <t xml:space="preserve">『サマリー』は県別・ステータス別の件数を自動で集計します（リスト下に追記した行も、</t>
    </r>
    <r>
      <rPr>
        <sz val="10"/>
        <rFont val="Arial"/>
        <family val="0"/>
        <charset val="1"/>
      </rPr>
      <t xml:space="preserve">200</t>
    </r>
    <r>
      <rPr>
        <sz val="10"/>
        <rFont val="WenQuanYi Zen Hei"/>
        <family val="2"/>
      </rPr>
      <t xml:space="preserve">行先まで集計されます）。</t>
    </r>
  </si>
  <si>
    <t xml:space="preserve">■ データについての注意</t>
  </si>
  <si>
    <r>
      <rPr>
        <sz val="10"/>
        <rFont val="WenQuanYi Zen Hei"/>
        <family val="2"/>
      </rPr>
      <t xml:space="preserve">・会社情報は</t>
    </r>
    <r>
      <rPr>
        <sz val="10"/>
        <rFont val="Arial"/>
        <family val="0"/>
        <charset val="1"/>
      </rPr>
      <t xml:space="preserve">2026</t>
    </r>
    <r>
      <rPr>
        <sz val="10"/>
        <rFont val="WenQuanYi Zen Hei"/>
        <family val="2"/>
      </rPr>
      <t xml:space="preserve">年</t>
    </r>
    <r>
      <rPr>
        <sz val="10"/>
        <rFont val="Arial"/>
        <family val="0"/>
        <charset val="1"/>
      </rPr>
      <t xml:space="preserve">10</t>
    </r>
    <r>
      <rPr>
        <sz val="10"/>
        <rFont val="WenQuanYi Zen Hei"/>
        <family val="2"/>
      </rPr>
      <t xml:space="preserve">月時点の</t>
    </r>
    <r>
      <rPr>
        <sz val="10"/>
        <rFont val="Arial"/>
        <family val="0"/>
        <charset val="1"/>
      </rPr>
      <t xml:space="preserve">Web</t>
    </r>
    <r>
      <rPr>
        <sz val="10"/>
        <rFont val="WenQuanYi Zen Hei"/>
        <family val="2"/>
      </rPr>
      <t xml:space="preserve">検索結果をもとにしています。社名・規模・</t>
    </r>
    <r>
      <rPr>
        <sz val="10"/>
        <rFont val="Arial"/>
        <family val="0"/>
        <charset val="1"/>
      </rPr>
      <t xml:space="preserve">FC</t>
    </r>
    <r>
      <rPr>
        <sz val="10"/>
        <rFont val="WenQuanYi Zen Hei"/>
        <family val="2"/>
      </rPr>
      <t xml:space="preserve">加盟状況は、アプローチ前に公式サイトで確認してください。</t>
    </r>
  </si>
  <si>
    <t xml:space="preserve">・確認できなかった項目は空欄のままにしています（推測では埋めていません）。</t>
  </si>
  <si>
    <r>
      <rPr>
        <sz val="10"/>
        <rFont val="WenQuanYi Zen Hei"/>
        <family val="2"/>
      </rPr>
      <t xml:space="preserve">・</t>
    </r>
    <r>
      <rPr>
        <sz val="10"/>
        <rFont val="Arial"/>
        <family val="0"/>
        <charset val="1"/>
      </rPr>
      <t xml:space="preserve">LIFE X</t>
    </r>
    <r>
      <rPr>
        <sz val="10"/>
        <rFont val="WenQuanYi Zen Hei"/>
        <family val="2"/>
      </rPr>
      <t xml:space="preserve">既存加盟店は除外済みです（『除外</t>
    </r>
    <r>
      <rPr>
        <sz val="10"/>
        <rFont val="Arial"/>
        <family val="0"/>
        <charset val="1"/>
      </rPr>
      <t xml:space="preserve">_</t>
    </r>
    <r>
      <rPr>
        <sz val="10"/>
        <rFont val="WenQuanYi Zen Hei"/>
        <family val="2"/>
      </rPr>
      <t xml:space="preserve">既存加盟店』シート）。</t>
    </r>
  </si>
  <si>
    <t xml:space="preserve">No</t>
  </si>
  <si>
    <t xml:space="preserve">優先度</t>
  </si>
  <si>
    <t xml:space="preserve">都道府県</t>
  </si>
  <si>
    <t xml:space="preserve">市区町村</t>
  </si>
  <si>
    <t xml:space="preserve">会社名</t>
  </si>
  <si>
    <t xml:space="preserve">公式サイト</t>
  </si>
  <si>
    <t xml:space="preserve">主力事業・商品</t>
  </si>
  <si>
    <t xml:space="preserve">規模（確認できた範囲）</t>
  </si>
  <si>
    <r>
      <rPr>
        <b val="true"/>
        <sz val="10"/>
        <color rgb="FFFFFFFF"/>
        <rFont val="WenQuanYi Zen Hei"/>
        <family val="2"/>
      </rPr>
      <t xml:space="preserve">競合</t>
    </r>
    <r>
      <rPr>
        <b val="true"/>
        <sz val="10"/>
        <color rgb="FFFFFFFF"/>
        <rFont val="Arial"/>
        <family val="0"/>
        <charset val="1"/>
      </rPr>
      <t xml:space="preserve">FC</t>
    </r>
    <r>
      <rPr>
        <b val="true"/>
        <sz val="10"/>
        <color rgb="FFFFFFFF"/>
        <rFont val="WenQuanYi Zen Hei"/>
        <family val="2"/>
      </rPr>
      <t xml:space="preserve">加盟状況</t>
    </r>
  </si>
  <si>
    <r>
      <rPr>
        <b val="true"/>
        <sz val="10"/>
        <color rgb="FFFFFFFF"/>
        <rFont val="Arial"/>
        <family val="0"/>
        <charset val="1"/>
      </rPr>
      <t xml:space="preserve">LIFE X</t>
    </r>
    <r>
      <rPr>
        <b val="true"/>
        <sz val="10"/>
        <color rgb="FFFFFFFF"/>
        <rFont val="WenQuanYi Zen Hei"/>
        <family val="2"/>
      </rPr>
      <t xml:space="preserve">が刺さる理由</t>
    </r>
  </si>
  <si>
    <r>
      <rPr>
        <b val="true"/>
        <sz val="10"/>
        <color rgb="FFFFFFFF"/>
        <rFont val="WenQuanYi Zen Hei"/>
        <family val="2"/>
      </rPr>
      <t xml:space="preserve">根拠</t>
    </r>
    <r>
      <rPr>
        <b val="true"/>
        <sz val="10"/>
        <color rgb="FFFFFFFF"/>
        <rFont val="Arial"/>
        <family val="0"/>
        <charset val="1"/>
      </rPr>
      <t xml:space="preserve">URL</t>
    </r>
  </si>
  <si>
    <t xml:space="preserve">担当者</t>
  </si>
  <si>
    <t xml:space="preserve">ステータス</t>
  </si>
  <si>
    <t xml:space="preserve">初回接触日</t>
  </si>
  <si>
    <t xml:space="preserve">次回アクション日</t>
  </si>
  <si>
    <t xml:space="preserve">次回アクション内容</t>
  </si>
  <si>
    <t xml:space="preserve">先方キーマン</t>
  </si>
  <si>
    <t xml:space="preserve">メモ</t>
  </si>
  <si>
    <t xml:space="preserve">A</t>
  </si>
  <si>
    <t xml:space="preserve">神奈川県</t>
  </si>
  <si>
    <t xml:space="preserve">厚木市</t>
  </si>
  <si>
    <t xml:space="preserve">株式会社厚木地所</t>
  </si>
  <si>
    <t xml:space="preserve">県央エリアの不動産売買・仲介・自社分譲。減震パッキン工法の「エコファミリー」住宅を建築</t>
  </si>
  <si>
    <r>
      <rPr>
        <sz val="10"/>
        <rFont val="WenQuanYi Zen Hei"/>
        <family val="2"/>
      </rPr>
      <t xml:space="preserve">住宅建設</t>
    </r>
    <r>
      <rPr>
        <sz val="10"/>
        <rFont val="Arial"/>
        <family val="0"/>
        <charset val="1"/>
      </rPr>
      <t xml:space="preserve">31</t>
    </r>
    <r>
      <rPr>
        <sz val="10"/>
        <rFont val="WenQuanYi Zen Hei"/>
        <family val="2"/>
      </rPr>
      <t xml:space="preserve">期で累計</t>
    </r>
    <r>
      <rPr>
        <sz val="10"/>
        <rFont val="Arial"/>
        <family val="0"/>
        <charset val="1"/>
      </rPr>
      <t xml:space="preserve">526</t>
    </r>
    <r>
      <rPr>
        <sz val="10"/>
        <rFont val="WenQuanYi Zen Hei"/>
        <family val="2"/>
      </rPr>
      <t xml:space="preserve">棟（年平均約</t>
    </r>
    <r>
      <rPr>
        <sz val="10"/>
        <rFont val="Arial"/>
        <family val="0"/>
        <charset val="1"/>
      </rPr>
      <t xml:space="preserve">17</t>
    </r>
    <r>
      <rPr>
        <sz val="10"/>
        <rFont val="WenQuanYi Zen Hei"/>
        <family val="2"/>
      </rPr>
      <t xml:space="preserve">棟と算出）</t>
    </r>
  </si>
  <si>
    <r>
      <rPr>
        <sz val="10"/>
        <rFont val="WenQuanYi Zen Hei"/>
        <family val="2"/>
      </rPr>
      <t xml:space="preserve">「良質な住宅を低価格で」を掲げ不動産集客の導線を持つ一方、高性能な規格商品は見当たらず、</t>
    </r>
    <r>
      <rPr>
        <sz val="10"/>
        <rFont val="Arial"/>
        <family val="0"/>
        <charset val="1"/>
      </rPr>
      <t xml:space="preserve">LIFE X</t>
    </r>
    <r>
      <rPr>
        <sz val="10"/>
        <rFont val="WenQuanYi Zen Hei"/>
        <family val="2"/>
      </rPr>
      <t xml:space="preserve">で商品力を補える</t>
    </r>
  </si>
  <si>
    <t xml:space="preserve">https://tsukulink.net/kanagawa/city_142123/764560</t>
  </si>
  <si>
    <t xml:space="preserve">未着手</t>
  </si>
  <si>
    <t xml:space="preserve">相模原市</t>
  </si>
  <si>
    <t xml:space="preserve">相陽建設株式会社</t>
  </si>
  <si>
    <r>
      <rPr>
        <sz val="10"/>
        <rFont val="Arial"/>
        <family val="0"/>
        <charset val="1"/>
      </rPr>
      <t xml:space="preserve">1970</t>
    </r>
    <r>
      <rPr>
        <sz val="10"/>
        <rFont val="WenQuanYi Zen Hei"/>
        <family val="2"/>
      </rPr>
      <t xml:space="preserve">年創業の総合建設。注文住宅中心で主力は外断熱・二重通気の「ソーラーサーキットの家」、自然素材リフォームも</t>
    </r>
  </si>
  <si>
    <r>
      <rPr>
        <sz val="10"/>
        <rFont val="WenQuanYi Zen Hei"/>
        <family val="2"/>
      </rPr>
      <t xml:space="preserve">正社員規模推定</t>
    </r>
    <r>
      <rPr>
        <sz val="10"/>
        <rFont val="Arial"/>
        <family val="0"/>
        <charset val="1"/>
      </rPr>
      <t xml:space="preserve">33</t>
    </r>
    <r>
      <rPr>
        <sz val="10"/>
        <rFont val="WenQuanYi Zen Hei"/>
        <family val="2"/>
      </rPr>
      <t xml:space="preserve">名（</t>
    </r>
    <r>
      <rPr>
        <sz val="10"/>
        <rFont val="Arial"/>
        <family val="0"/>
        <charset val="1"/>
      </rPr>
      <t xml:space="preserve">SalesNow</t>
    </r>
    <r>
      <rPr>
        <sz val="10"/>
        <rFont val="WenQuanYi Zen Hei"/>
        <family val="2"/>
      </rPr>
      <t xml:space="preserve">）</t>
    </r>
  </si>
  <si>
    <r>
      <rPr>
        <sz val="10"/>
        <rFont val="WenQuanYi Zen Hei"/>
        <family val="2"/>
      </rPr>
      <t xml:space="preserve">ソーラーサーキット工法採用（工法ネットワーク。住宅</t>
    </r>
    <r>
      <rPr>
        <sz val="10"/>
        <rFont val="Arial"/>
        <family val="0"/>
        <charset val="1"/>
      </rPr>
      <t xml:space="preserve">FC</t>
    </r>
    <r>
      <rPr>
        <sz val="10"/>
        <rFont val="WenQuanYi Zen Hei"/>
        <family val="2"/>
      </rPr>
      <t xml:space="preserve">かは未確認）</t>
    </r>
  </si>
  <si>
    <r>
      <rPr>
        <sz val="10"/>
        <rFont val="WenQuanYi Zen Hei"/>
        <family val="2"/>
      </rPr>
      <t xml:space="preserve">高性能注文住宅が主体で、低価格帯の規格商品を持っている様子がなく、</t>
    </r>
    <r>
      <rPr>
        <sz val="10"/>
        <rFont val="Arial"/>
        <family val="0"/>
        <charset val="1"/>
      </rPr>
      <t xml:space="preserve">LIFE X</t>
    </r>
    <r>
      <rPr>
        <sz val="10"/>
        <rFont val="WenQuanYi Zen Hei"/>
        <family val="2"/>
      </rPr>
      <t xml:space="preserve">の</t>
    </r>
    <r>
      <rPr>
        <sz val="10"/>
        <rFont val="Arial"/>
        <family val="0"/>
        <charset val="1"/>
      </rPr>
      <t xml:space="preserve">1,890</t>
    </r>
    <r>
      <rPr>
        <sz val="10"/>
        <rFont val="WenQuanYi Zen Hei"/>
        <family val="2"/>
      </rPr>
      <t xml:space="preserve">万円〜規格住宅で一次取得層を取り込める</t>
    </r>
  </si>
  <si>
    <t xml:space="preserve">https://salesnow.jp/db/companies/jcbpca0vj3wg63wd ; https://crexgroup.com/ja/home-building/region/sagamihara-construction-company-list/</t>
  </si>
  <si>
    <t xml:space="preserve">茅ヶ崎市</t>
  </si>
  <si>
    <t xml:space="preserve">大勝建設株式会社</t>
  </si>
  <si>
    <t xml:space="preserve">https://www.daikatsu.plus/</t>
  </si>
  <si>
    <r>
      <rPr>
        <sz val="10"/>
        <rFont val="WenQuanYi Zen Hei"/>
        <family val="2"/>
      </rPr>
      <t xml:space="preserve">創業</t>
    </r>
    <r>
      <rPr>
        <sz val="10"/>
        <rFont val="Arial"/>
        <family val="0"/>
        <charset val="1"/>
      </rPr>
      <t xml:space="preserve">110</t>
    </r>
    <r>
      <rPr>
        <sz val="10"/>
        <rFont val="WenQuanYi Zen Hei"/>
        <family val="2"/>
      </rPr>
      <t xml:space="preserve">年超の建設・住宅・不動産会社。自由設計・全棟長期優良住宅・耐震等級</t>
    </r>
    <r>
      <rPr>
        <sz val="10"/>
        <rFont val="Arial"/>
        <family val="0"/>
        <charset val="1"/>
      </rPr>
      <t xml:space="preserve">3</t>
    </r>
    <r>
      <rPr>
        <sz val="10"/>
        <rFont val="WenQuanYi Zen Hei"/>
        <family val="2"/>
      </rPr>
      <t xml:space="preserve">の注文住宅（＋</t>
    </r>
    <r>
      <rPr>
        <sz val="10"/>
        <rFont val="Arial"/>
        <family val="0"/>
        <charset val="1"/>
      </rPr>
      <t xml:space="preserve">DAIKATSU</t>
    </r>
    <r>
      <rPr>
        <sz val="10"/>
        <rFont val="WenQuanYi Zen Hei"/>
        <family val="2"/>
      </rPr>
      <t xml:space="preserve">）</t>
    </r>
  </si>
  <si>
    <r>
      <rPr>
        <sz val="10"/>
        <rFont val="WenQuanYi Zen Hei"/>
        <family val="2"/>
      </rPr>
      <t xml:space="preserve">資本金</t>
    </r>
    <r>
      <rPr>
        <sz val="10"/>
        <rFont val="Arial"/>
        <family val="0"/>
        <charset val="1"/>
      </rPr>
      <t xml:space="preserve">2,500</t>
    </r>
    <r>
      <rPr>
        <sz val="10"/>
        <rFont val="WenQuanYi Zen Hei"/>
        <family val="2"/>
      </rPr>
      <t xml:space="preserve">万円、創業</t>
    </r>
    <r>
      <rPr>
        <sz val="10"/>
        <rFont val="Arial"/>
        <family val="0"/>
        <charset val="1"/>
      </rPr>
      <t xml:space="preserve">114</t>
    </r>
    <r>
      <rPr>
        <sz val="10"/>
        <rFont val="WenQuanYi Zen Hei"/>
        <family val="2"/>
      </rPr>
      <t xml:space="preserve">年（</t>
    </r>
    <r>
      <rPr>
        <sz val="10"/>
        <rFont val="Arial"/>
        <family val="0"/>
        <charset val="1"/>
      </rPr>
      <t xml:space="preserve">Yahoo</t>
    </r>
    <r>
      <rPr>
        <sz val="10"/>
        <rFont val="WenQuanYi Zen Hei"/>
        <family val="2"/>
      </rPr>
      <t xml:space="preserve">不動産・会社情報）</t>
    </r>
  </si>
  <si>
    <r>
      <rPr>
        <sz val="10"/>
        <rFont val="WenQuanYi Zen Hei"/>
        <family val="2"/>
      </rPr>
      <t xml:space="preserve">自由設計の注文が主体で規格商品が見えず、耐震等級</t>
    </r>
    <r>
      <rPr>
        <sz val="10"/>
        <rFont val="Arial"/>
        <family val="0"/>
        <charset val="1"/>
      </rPr>
      <t xml:space="preserve">3</t>
    </r>
    <r>
      <rPr>
        <sz val="10"/>
        <rFont val="WenQuanYi Zen Hei"/>
        <family val="2"/>
      </rPr>
      <t xml:space="preserve">の土台がある分、断熱等級</t>
    </r>
    <r>
      <rPr>
        <sz val="10"/>
        <rFont val="Arial"/>
        <family val="0"/>
        <charset val="1"/>
      </rPr>
      <t xml:space="preserve">6</t>
    </r>
    <r>
      <rPr>
        <sz val="10"/>
        <rFont val="WenQuanYi Zen Hei"/>
        <family val="2"/>
      </rPr>
      <t xml:space="preserve">・太陽光標準の規格商品を足しやすい</t>
    </r>
  </si>
  <si>
    <t xml:space="preserve">https://realestate.yahoo.co.jp/company/used/bc00023294/ ; https://www.daikatsu.plus/</t>
  </si>
  <si>
    <t xml:space="preserve">B</t>
  </si>
  <si>
    <t xml:space="preserve">平塚市</t>
  </si>
  <si>
    <t xml:space="preserve">株式会社阿部建業</t>
  </si>
  <si>
    <r>
      <rPr>
        <sz val="10"/>
        <rFont val="WenQuanYi Zen Hei"/>
        <family val="2"/>
      </rPr>
      <t xml:space="preserve">創業</t>
    </r>
    <r>
      <rPr>
        <sz val="10"/>
        <rFont val="Arial"/>
        <family val="0"/>
        <charset val="1"/>
      </rPr>
      <t xml:space="preserve">55</t>
    </r>
    <r>
      <rPr>
        <sz val="10"/>
        <rFont val="WenQuanYi Zen Hei"/>
        <family val="2"/>
      </rPr>
      <t xml:space="preserve">年超、湘南西部（平塚・茅ヶ崎・伊勢原・秦野等）の注文住宅・リフォーム・不動産。「コミコミ注文住宅」「平屋の家ふらっと君</t>
    </r>
    <r>
      <rPr>
        <sz val="10"/>
        <rFont val="Arial"/>
        <family val="0"/>
        <charset val="1"/>
      </rPr>
      <t xml:space="preserve">16</t>
    </r>
    <r>
      <rPr>
        <sz val="10"/>
        <rFont val="WenQuanYi Zen Hei"/>
        <family val="2"/>
      </rPr>
      <t xml:space="preserve">」</t>
    </r>
  </si>
  <si>
    <r>
      <rPr>
        <sz val="10"/>
        <rFont val="WenQuanYi Zen Hei"/>
        <family val="2"/>
      </rPr>
      <t xml:space="preserve">パッケージ商品はあるが断熱等級</t>
    </r>
    <r>
      <rPr>
        <sz val="10"/>
        <rFont val="Arial"/>
        <family val="0"/>
        <charset val="1"/>
      </rPr>
      <t xml:space="preserve">4</t>
    </r>
    <r>
      <rPr>
        <sz val="10"/>
        <rFont val="WenQuanYi Zen Hei"/>
        <family val="2"/>
      </rPr>
      <t xml:space="preserve">が標準のため、等級</t>
    </r>
    <r>
      <rPr>
        <sz val="10"/>
        <rFont val="Arial"/>
        <family val="0"/>
        <charset val="1"/>
      </rPr>
      <t xml:space="preserve">6</t>
    </r>
    <r>
      <rPr>
        <sz val="10"/>
        <rFont val="WenQuanYi Zen Hei"/>
        <family val="2"/>
      </rPr>
      <t xml:space="preserve">・太陽光標準の規格住宅に上位互換として置き換える提案ができる</t>
    </r>
  </si>
  <si>
    <t xml:space="preserve">https://compalyze.co.jp/company/6021001036109 ; https://www.e-mansion.co.jp/bbs/thread/11219/</t>
  </si>
  <si>
    <t xml:space="preserve">横浜市金沢区</t>
  </si>
  <si>
    <t xml:space="preserve">大栄建設株式会社</t>
  </si>
  <si>
    <r>
      <rPr>
        <sz val="10"/>
        <rFont val="WenQuanYi Zen Hei"/>
        <family val="2"/>
      </rPr>
      <t xml:space="preserve">金沢区で地域密着</t>
    </r>
    <r>
      <rPr>
        <sz val="10"/>
        <rFont val="Arial"/>
        <family val="0"/>
        <charset val="1"/>
      </rPr>
      <t xml:space="preserve">35</t>
    </r>
    <r>
      <rPr>
        <sz val="10"/>
        <rFont val="WenQuanYi Zen Hei"/>
        <family val="2"/>
      </rPr>
      <t xml:space="preserve">年。土地探し・資金計画から注文住宅、リフォーム、耐震補強まで</t>
    </r>
  </si>
  <si>
    <t xml:space="preserve">リフォーム寄りの小規模工務店のようで、新築集客の目玉になる規格商品が無い</t>
  </si>
  <si>
    <t xml:space="preserve">https://www.biz.ne.jp/company/daiei1101/</t>
  </si>
  <si>
    <t xml:space="preserve">株式会社加賀妻工務店</t>
  </si>
  <si>
    <t xml:space="preserve">http://www.kagatuma.co.jp/</t>
  </si>
  <si>
    <r>
      <rPr>
        <sz val="10"/>
        <rFont val="WenQuanYi Zen Hei"/>
        <family val="2"/>
      </rPr>
      <t xml:space="preserve">約</t>
    </r>
    <r>
      <rPr>
        <sz val="10"/>
        <rFont val="Arial"/>
        <family val="0"/>
        <charset val="1"/>
      </rPr>
      <t xml:space="preserve">50</t>
    </r>
    <r>
      <rPr>
        <sz val="10"/>
        <rFont val="WenQuanYi Zen Hei"/>
        <family val="2"/>
      </rPr>
      <t xml:space="preserve">年の地域工務店。国産材・自然素材の木造住宅、大型リノベーション、耐震工事、不動産</t>
    </r>
  </si>
  <si>
    <r>
      <rPr>
        <sz val="10"/>
        <rFont val="WenQuanYi Zen Hei"/>
        <family val="2"/>
      </rPr>
      <t xml:space="preserve">正社員規模推定</t>
    </r>
    <r>
      <rPr>
        <sz val="10"/>
        <rFont val="Arial"/>
        <family val="0"/>
        <charset val="1"/>
      </rPr>
      <t xml:space="preserve">18</t>
    </r>
    <r>
      <rPr>
        <sz val="10"/>
        <rFont val="WenQuanYi Zen Hei"/>
        <family val="2"/>
      </rPr>
      <t xml:space="preserve">名（</t>
    </r>
    <r>
      <rPr>
        <sz val="10"/>
        <rFont val="Arial"/>
        <family val="0"/>
        <charset val="1"/>
      </rPr>
      <t xml:space="preserve">SalesNow</t>
    </r>
    <r>
      <rPr>
        <sz val="10"/>
        <rFont val="WenQuanYi Zen Hei"/>
        <family val="2"/>
      </rPr>
      <t xml:space="preserve">）</t>
    </r>
  </si>
  <si>
    <t xml:space="preserve">高価格帯の自然素材注文住宅やリノベーションが主体で、若年層向けの規格商品が無い</t>
  </si>
  <si>
    <t xml:space="preserve">https://www.biz.ne.jp/corporation/26676/ ; https://salesnow.jp/db/companies/jcbpyxufanr08sdk</t>
  </si>
  <si>
    <t xml:space="preserve">藤沢市</t>
  </si>
  <si>
    <t xml:space="preserve">サンキホーム株式会社</t>
  </si>
  <si>
    <t xml:space="preserve">https://www.sankihome.co.jp/</t>
  </si>
  <si>
    <t xml:space="preserve">藤沢・茅ヶ崎・鎌倉・逗子の湘南エリアで天然素材の健康住宅（「緑の柱」採用）を手がける</t>
  </si>
  <si>
    <t xml:space="preserve">天然素材の注文住宅が主体で、ローコスト・規格の品ぞろえが確認できない</t>
  </si>
  <si>
    <t xml:space="preserve">https://www.city.fujisawa.kanagawa.jp/documents/33414/r5jisseki_sankihome.pdf ; https://www.sankihome.co.jp/</t>
  </si>
  <si>
    <t xml:space="preserve">C</t>
  </si>
  <si>
    <t xml:space="preserve">神奈川エコハウス株式会社</t>
  </si>
  <si>
    <r>
      <rPr>
        <sz val="10"/>
        <rFont val="Arial"/>
        <family val="0"/>
        <charset val="1"/>
      </rPr>
      <t xml:space="preserve">1972</t>
    </r>
    <r>
      <rPr>
        <sz val="10"/>
        <rFont val="WenQuanYi Zen Hei"/>
        <family val="2"/>
      </rPr>
      <t xml:space="preserve">年設立。「健康と住環境」を重視した注文住宅。神奈川県産桧、基礎断熱、エアサイクル工法。港北の無添加住宅モデルハウス</t>
    </r>
  </si>
  <si>
    <t xml:space="preserve">無添加住宅のモデルハウスを運営との情報あり（無添加住宅ネットワークへの加盟を要確認）</t>
  </si>
  <si>
    <t xml:space="preserve">健康住宅の高単価注文が軸で、性能を前に出した低価格規格帯が無い</t>
  </si>
  <si>
    <t xml:space="preserve">https://www.e-mansion.co.jp/bbs/thread/11729/ ; https://compalyze.co.jp/company/8021002003659</t>
  </si>
  <si>
    <t xml:space="preserve">石原工務店</t>
  </si>
  <si>
    <t xml:space="preserve">https://www.ishihara396.com/</t>
  </si>
  <si>
    <t xml:space="preserve">湘南エリア中心にシンプルで高性能な家づくり</t>
  </si>
  <si>
    <r>
      <rPr>
        <sz val="10"/>
        <rFont val="WenQuanYi Zen Hei"/>
        <family val="2"/>
      </rPr>
      <t xml:space="preserve">シンプル・高性能という方向性が</t>
    </r>
    <r>
      <rPr>
        <sz val="10"/>
        <rFont val="Arial"/>
        <family val="0"/>
        <charset val="1"/>
      </rPr>
      <t xml:space="preserve">LIFE X</t>
    </r>
    <r>
      <rPr>
        <sz val="10"/>
        <rFont val="WenQuanYi Zen Hei"/>
        <family val="2"/>
      </rPr>
      <t xml:space="preserve">と近く、商品化を後押しできる余地がある</t>
    </r>
  </si>
  <si>
    <t xml:space="preserve">https://www.ishihara396.com/useful/3253/</t>
  </si>
  <si>
    <t xml:space="preserve">かつ七興産</t>
  </si>
  <si>
    <r>
      <rPr>
        <sz val="10"/>
        <rFont val="WenQuanYi Zen Hei"/>
        <family val="2"/>
      </rPr>
      <t xml:space="preserve">湘南の高性能注文住宅。</t>
    </r>
    <r>
      <rPr>
        <sz val="10"/>
        <rFont val="Arial"/>
        <family val="0"/>
        <charset val="1"/>
      </rPr>
      <t xml:space="preserve">HEAT20 G2</t>
    </r>
    <r>
      <rPr>
        <sz val="10"/>
        <rFont val="WenQuanYi Zen Hei"/>
        <family val="2"/>
      </rPr>
      <t xml:space="preserve">標準、</t>
    </r>
    <r>
      <rPr>
        <sz val="10"/>
        <rFont val="Arial"/>
        <family val="0"/>
        <charset val="1"/>
      </rPr>
      <t xml:space="preserve">G3</t>
    </r>
    <r>
      <rPr>
        <sz val="10"/>
        <rFont val="WenQuanYi Zen Hei"/>
        <family val="2"/>
      </rPr>
      <t xml:space="preserve">対応</t>
    </r>
  </si>
  <si>
    <r>
      <rPr>
        <sz val="10"/>
        <rFont val="WenQuanYi Zen Hei"/>
        <family val="2"/>
      </rPr>
      <t xml:space="preserve">年間</t>
    </r>
    <r>
      <rPr>
        <sz val="10"/>
        <rFont val="Arial"/>
        <family val="0"/>
        <charset val="1"/>
      </rPr>
      <t xml:space="preserve">100</t>
    </r>
    <r>
      <rPr>
        <sz val="10"/>
        <rFont val="WenQuanYi Zen Hei"/>
        <family val="2"/>
      </rPr>
      <t xml:space="preserve">棟以上（比較サイト記載）</t>
    </r>
  </si>
  <si>
    <t xml:space="preserve">棟数が対象の上限を超えるうえ性能も既に高く、適合度は低い</t>
  </si>
  <si>
    <t xml:space="preserve">https://local-time.jp/shonan-komuten/</t>
  </si>
  <si>
    <t xml:space="preserve">民家工房常栄</t>
  </si>
  <si>
    <t xml:space="preserve">国産材・地元神奈川の木を使った自然派住宅</t>
  </si>
  <si>
    <t xml:space="preserve">自然派の注文住宅に特化しており、価格帯を広げる規格商品が無いとみられる</t>
  </si>
  <si>
    <t xml:space="preserve">https://www.e-mansion.co.jp/bbs/thread/10070/</t>
  </si>
  <si>
    <t xml:space="preserve">小田原市</t>
  </si>
  <si>
    <t xml:space="preserve">株式会社江原工務店</t>
  </si>
  <si>
    <t xml:space="preserve">小田原拠点の木造注文住宅の販売・設計・施工、リフォーム・増改築</t>
  </si>
  <si>
    <t xml:space="preserve">県西部の木造注文工務店で、規格・高性能を売りにした商品が確認できない</t>
  </si>
  <si>
    <t xml:space="preserve">https://compalyze.co.jp/company/4021001034816</t>
  </si>
  <si>
    <t xml:space="preserve">有限会社片山工務店</t>
  </si>
  <si>
    <r>
      <rPr>
        <sz val="10"/>
        <rFont val="WenQuanYi Zen Hei"/>
        <family val="2"/>
      </rPr>
      <t xml:space="preserve">昭和</t>
    </r>
    <r>
      <rPr>
        <sz val="10"/>
        <rFont val="Arial"/>
        <family val="0"/>
        <charset val="1"/>
      </rPr>
      <t xml:space="preserve">55</t>
    </r>
    <r>
      <rPr>
        <sz val="10"/>
        <rFont val="WenQuanYi Zen Hei"/>
        <family val="2"/>
      </rPr>
      <t xml:space="preserve">年創業。小田原市内を中心に木造注文住宅</t>
    </r>
  </si>
  <si>
    <t xml:space="preserve">小規模の木造注文工務店で、新規集客用の商品を持っていない</t>
  </si>
  <si>
    <t xml:space="preserve">https://www.seikatsu-guide.com/info/14/14206/7/</t>
  </si>
  <si>
    <t xml:space="preserve">川崎市</t>
  </si>
  <si>
    <t xml:space="preserve">有限会社太洋建設</t>
  </si>
  <si>
    <r>
      <rPr>
        <sz val="10"/>
        <rFont val="WenQuanYi Zen Hei"/>
        <family val="2"/>
      </rPr>
      <t xml:space="preserve">昭和</t>
    </r>
    <r>
      <rPr>
        <sz val="10"/>
        <rFont val="Arial"/>
        <family val="0"/>
        <charset val="1"/>
      </rPr>
      <t xml:space="preserve">33</t>
    </r>
    <r>
      <rPr>
        <sz val="10"/>
        <rFont val="WenQuanYi Zen Hei"/>
        <family val="2"/>
      </rPr>
      <t xml:space="preserve">年に田中工務店として開業。地域密着の在来木造住宅</t>
    </r>
  </si>
  <si>
    <t xml:space="preserve">在来木造の老舗で、規格・高性能の商品が無いとみられる</t>
  </si>
  <si>
    <t xml:space="preserve">https://crexgroup.com/ja/home-building/region/kawasaki-city-construction-company-ranking-selection/</t>
  </si>
  <si>
    <t xml:space="preserve">横浜市旭区</t>
  </si>
  <si>
    <t xml:space="preserve">有限会社大内工務店</t>
  </si>
  <si>
    <r>
      <rPr>
        <sz val="10"/>
        <rFont val="Arial"/>
        <family val="0"/>
        <charset val="1"/>
      </rPr>
      <t xml:space="preserve">55</t>
    </r>
    <r>
      <rPr>
        <sz val="10"/>
        <rFont val="WenQuanYi Zen Hei"/>
        <family val="2"/>
      </rPr>
      <t xml:space="preserve">年以上の地域工務店。自社大工による在来木造住宅、共同住宅、店舗、リフォーム</t>
    </r>
  </si>
  <si>
    <t xml:space="preserve">自社大工の施工力はあるが、商品・集客の仕組みが見えない</t>
  </si>
  <si>
    <t xml:space="preserve">https://itp.ne.jp/zenkoku/kanagawa/yokohamashi-kanagawaku/sammaichiyo/146465800200000899</t>
  </si>
  <si>
    <t xml:space="preserve">ギミックデザイン</t>
  </si>
  <si>
    <r>
      <rPr>
        <sz val="10"/>
        <rFont val="WenQuanYi Zen Hei"/>
        <family val="2"/>
      </rPr>
      <t xml:space="preserve">「デザイン</t>
    </r>
    <r>
      <rPr>
        <sz val="10"/>
        <rFont val="Arial"/>
        <family val="0"/>
        <charset val="1"/>
      </rPr>
      <t xml:space="preserve">×</t>
    </r>
    <r>
      <rPr>
        <sz val="10"/>
        <rFont val="WenQuanYi Zen Hei"/>
        <family val="2"/>
      </rPr>
      <t xml:space="preserve">性能</t>
    </r>
    <r>
      <rPr>
        <sz val="10"/>
        <rFont val="Arial"/>
        <family val="0"/>
        <charset val="1"/>
      </rPr>
      <t xml:space="preserve">×</t>
    </r>
    <r>
      <rPr>
        <sz val="10"/>
        <rFont val="WenQuanYi Zen Hei"/>
        <family val="2"/>
      </rPr>
      <t xml:space="preserve">コスト」を掲げる設計事務所兼工務店。建築家が設計から現場まで一貫して担当</t>
    </r>
  </si>
  <si>
    <r>
      <rPr>
        <sz val="10"/>
        <rFont val="WenQuanYi Zen Hei"/>
        <family val="2"/>
      </rPr>
      <t xml:space="preserve">デザインとコストを重視する方針が、</t>
    </r>
    <r>
      <rPr>
        <sz val="10"/>
        <rFont val="Arial"/>
        <family val="0"/>
        <charset val="1"/>
      </rPr>
      <t xml:space="preserve">LIFE X</t>
    </r>
    <r>
      <rPr>
        <sz val="10"/>
        <rFont val="WenQuanYi Zen Hei"/>
        <family val="2"/>
      </rPr>
      <t xml:space="preserve">のデザイン規格住宅と重なる</t>
    </r>
  </si>
  <si>
    <t xml:space="preserve">https://crexgroup.com/ja/home-building/region/sagamihara-construction-company-list/</t>
  </si>
  <si>
    <t xml:space="preserve">株式会社湘南渡辺</t>
  </si>
  <si>
    <r>
      <rPr>
        <sz val="10"/>
        <rFont val="Arial"/>
        <family val="0"/>
        <charset val="1"/>
      </rPr>
      <t xml:space="preserve">1949</t>
    </r>
    <r>
      <rPr>
        <sz val="10"/>
        <rFont val="WenQuanYi Zen Hei"/>
        <family val="2"/>
      </rPr>
      <t xml:space="preserve">年創業の一級建築士事務所。設計・新築・リフォーム・不動産</t>
    </r>
  </si>
  <si>
    <t xml:space="preserve">設計と不動産の両方を持っており、規格住宅を加えれば土地とセットで売る導線が作れる</t>
  </si>
  <si>
    <t xml:space="preserve">https://www.e-mansion.co.jp/bbs/thread/673787/</t>
  </si>
  <si>
    <t xml:space="preserve">千葉県</t>
  </si>
  <si>
    <t xml:space="preserve">八街市</t>
  </si>
  <si>
    <t xml:space="preserve">株式会社工藤工務店</t>
  </si>
  <si>
    <r>
      <rPr>
        <sz val="10"/>
        <rFont val="Arial"/>
        <family val="0"/>
        <charset val="1"/>
      </rPr>
      <t xml:space="preserve">1981</t>
    </r>
    <r>
      <rPr>
        <sz val="10"/>
        <rFont val="WenQuanYi Zen Hei"/>
        <family val="2"/>
      </rPr>
      <t xml:space="preserve">年創業。</t>
    </r>
    <r>
      <rPr>
        <sz val="10"/>
        <rFont val="Arial"/>
        <family val="0"/>
        <charset val="1"/>
      </rPr>
      <t xml:space="preserve">FP</t>
    </r>
    <r>
      <rPr>
        <sz val="10"/>
        <rFont val="WenQuanYi Zen Hei"/>
        <family val="2"/>
      </rPr>
      <t xml:space="preserve">ウレタン断熱パネルの「</t>
    </r>
    <r>
      <rPr>
        <sz val="10"/>
        <rFont val="Arial"/>
        <family val="0"/>
        <charset val="1"/>
      </rPr>
      <t xml:space="preserve">FP</t>
    </r>
    <r>
      <rPr>
        <sz val="10"/>
        <rFont val="WenQuanYi Zen Hei"/>
        <family val="2"/>
      </rPr>
      <t xml:space="preserve">の家」（</t>
    </r>
    <r>
      <rPr>
        <sz val="10"/>
        <rFont val="Arial"/>
        <family val="0"/>
        <charset val="1"/>
      </rPr>
      <t xml:space="preserve">UA</t>
    </r>
    <r>
      <rPr>
        <sz val="10"/>
        <rFont val="WenQuanYi Zen Hei"/>
        <family val="2"/>
      </rPr>
      <t xml:space="preserve">値</t>
    </r>
    <r>
      <rPr>
        <sz val="10"/>
        <rFont val="Arial"/>
        <family val="0"/>
        <charset val="1"/>
      </rPr>
      <t xml:space="preserve">0.46</t>
    </r>
    <r>
      <rPr>
        <sz val="10"/>
        <rFont val="WenQuanYi Zen Hei"/>
        <family val="2"/>
      </rPr>
      <t xml:space="preserve">以下・</t>
    </r>
    <r>
      <rPr>
        <sz val="10"/>
        <rFont val="Arial"/>
        <family val="0"/>
        <charset val="1"/>
      </rPr>
      <t xml:space="preserve">C</t>
    </r>
    <r>
      <rPr>
        <sz val="10"/>
        <rFont val="WenQuanYi Zen Hei"/>
        <family val="2"/>
      </rPr>
      <t xml:space="preserve">値</t>
    </r>
    <r>
      <rPr>
        <sz val="10"/>
        <rFont val="Arial"/>
        <family val="0"/>
        <charset val="1"/>
      </rPr>
      <t xml:space="preserve">0.5</t>
    </r>
    <r>
      <rPr>
        <sz val="10"/>
        <rFont val="WenQuanYi Zen Hei"/>
        <family val="2"/>
      </rPr>
      <t xml:space="preserve">以下）、自社大工施工</t>
    </r>
  </si>
  <si>
    <r>
      <rPr>
        <sz val="10"/>
        <rFont val="WenQuanYi Zen Hei"/>
        <family val="2"/>
      </rPr>
      <t xml:space="preserve">累計</t>
    </r>
    <r>
      <rPr>
        <sz val="10"/>
        <rFont val="Arial"/>
        <family val="0"/>
        <charset val="1"/>
      </rPr>
      <t xml:space="preserve">700</t>
    </r>
    <r>
      <rPr>
        <sz val="10"/>
        <rFont val="WenQuanYi Zen Hei"/>
        <family val="2"/>
      </rPr>
      <t xml:space="preserve">棟以上</t>
    </r>
  </si>
  <si>
    <r>
      <rPr>
        <sz val="10"/>
        <rFont val="Arial"/>
        <family val="0"/>
        <charset val="1"/>
      </rPr>
      <t xml:space="preserve">FP</t>
    </r>
    <r>
      <rPr>
        <sz val="10"/>
        <rFont val="WenQuanYi Zen Hei"/>
        <family val="2"/>
      </rPr>
      <t xml:space="preserve">の家（</t>
    </r>
    <r>
      <rPr>
        <sz val="10"/>
        <rFont val="Arial"/>
        <family val="0"/>
        <charset val="1"/>
      </rPr>
      <t xml:space="preserve">FP</t>
    </r>
    <r>
      <rPr>
        <sz val="10"/>
        <rFont val="WenQuanYi Zen Hei"/>
        <family val="2"/>
      </rPr>
      <t xml:space="preserve">グループ工法ネットワーク）採用</t>
    </r>
  </si>
  <si>
    <r>
      <rPr>
        <sz val="10"/>
        <rFont val="WenQuanYi Zen Hei"/>
        <family val="2"/>
      </rPr>
      <t xml:space="preserve">自社大工の中規模工務店で</t>
    </r>
    <r>
      <rPr>
        <sz val="10"/>
        <rFont val="Arial"/>
        <family val="0"/>
        <charset val="1"/>
      </rPr>
      <t xml:space="preserve">FP</t>
    </r>
    <r>
      <rPr>
        <sz val="10"/>
        <rFont val="WenQuanYi Zen Hei"/>
        <family val="2"/>
      </rPr>
      <t xml:space="preserve">の高単価注文が主体のため、低価格の規格ラインを追加できる</t>
    </r>
  </si>
  <si>
    <t xml:space="preserve">https://compalyze.co.jp/company/7011501006180 ; https://news.mynavi.jp/real-estate-assessment/73482</t>
  </si>
  <si>
    <t xml:space="preserve">市川市</t>
  </si>
  <si>
    <t xml:space="preserve">株式会社ダイシュウ</t>
  </si>
  <si>
    <t xml:space="preserve">https://www.daishu.co.jp/</t>
  </si>
  <si>
    <r>
      <rPr>
        <sz val="10"/>
        <rFont val="WenQuanYi Zen Hei"/>
        <family val="2"/>
      </rPr>
      <t xml:space="preserve">創業</t>
    </r>
    <r>
      <rPr>
        <sz val="10"/>
        <rFont val="Arial"/>
        <family val="0"/>
        <charset val="1"/>
      </rPr>
      <t xml:space="preserve">37</t>
    </r>
    <r>
      <rPr>
        <sz val="10"/>
        <rFont val="WenQuanYi Zen Hei"/>
        <family val="2"/>
      </rPr>
      <t xml:space="preserve">年の工務店・一級建築士事務所。無垢材・漆喰で高耐震・高断熱の注文住宅（市川・松戸・船橋）</t>
    </r>
  </si>
  <si>
    <r>
      <rPr>
        <sz val="10"/>
        <rFont val="WenQuanYi Zen Hei"/>
        <family val="2"/>
      </rPr>
      <t xml:space="preserve">累計建築実績</t>
    </r>
    <r>
      <rPr>
        <sz val="10"/>
        <rFont val="Arial"/>
        <family val="0"/>
        <charset val="1"/>
      </rPr>
      <t xml:space="preserve">3,011</t>
    </r>
    <r>
      <rPr>
        <sz val="10"/>
        <rFont val="WenQuanYi Zen Hei"/>
        <family val="2"/>
      </rPr>
      <t xml:space="preserve">棟（自社表記）</t>
    </r>
  </si>
  <si>
    <r>
      <rPr>
        <sz val="10"/>
        <rFont val="WenQuanYi Zen Hei"/>
        <family val="2"/>
      </rPr>
      <t xml:space="preserve">自然素材の高単価注文が主体で、</t>
    </r>
    <r>
      <rPr>
        <sz val="10"/>
        <rFont val="Arial"/>
        <family val="0"/>
        <charset val="1"/>
      </rPr>
      <t xml:space="preserve">1,000</t>
    </r>
    <r>
      <rPr>
        <sz val="10"/>
        <rFont val="WenQuanYi Zen Hei"/>
        <family val="2"/>
      </rPr>
      <t xml:space="preserve">万円台の規格住宅を加えれば一次取得層の取りこぼしを拾える</t>
    </r>
  </si>
  <si>
    <t xml:space="preserve">https://www.daishu.co.jp/workarea/%E8%88%B9%E6%A9%8B%E5%B8%82/</t>
  </si>
  <si>
    <t xml:space="preserve">ウェルカムホーム</t>
  </si>
  <si>
    <t xml:space="preserve">https://www.welcome-home.jp/</t>
  </si>
  <si>
    <r>
      <rPr>
        <sz val="10"/>
        <rFont val="WenQuanYi Zen Hei"/>
        <family val="2"/>
      </rPr>
      <t xml:space="preserve">創業</t>
    </r>
    <r>
      <rPr>
        <sz val="10"/>
        <rFont val="Arial"/>
        <family val="0"/>
        <charset val="1"/>
      </rPr>
      <t xml:space="preserve">30</t>
    </r>
    <r>
      <rPr>
        <sz val="10"/>
        <rFont val="WenQuanYi Zen Hei"/>
        <family val="2"/>
      </rPr>
      <t xml:space="preserve">年。デザイン注文住宅・高性能住宅。船橋・習志野・市川の一部・八千代が対応エリア</t>
    </r>
  </si>
  <si>
    <r>
      <rPr>
        <sz val="10"/>
        <rFont val="WenQuanYi Zen Hei"/>
        <family val="2"/>
      </rPr>
      <t xml:space="preserve">デザインと高性能を打ち出す方向性が</t>
    </r>
    <r>
      <rPr>
        <sz val="10"/>
        <rFont val="Arial"/>
        <family val="0"/>
        <charset val="1"/>
      </rPr>
      <t xml:space="preserve">LIFE X</t>
    </r>
    <r>
      <rPr>
        <sz val="10"/>
        <rFont val="WenQuanYi Zen Hei"/>
        <family val="2"/>
      </rPr>
      <t xml:space="preserve">と合い、規格版を追加する余地がある</t>
    </r>
  </si>
  <si>
    <t xml:space="preserve">https://www.welcome-home.jp/funabasi/</t>
  </si>
  <si>
    <t xml:space="preserve">八千代市</t>
  </si>
  <si>
    <t xml:space="preserve">木のすまい工房</t>
  </si>
  <si>
    <r>
      <rPr>
        <sz val="10"/>
        <rFont val="Arial"/>
        <family val="0"/>
        <charset val="1"/>
      </rPr>
      <t xml:space="preserve">2010</t>
    </r>
    <r>
      <rPr>
        <sz val="10"/>
        <rFont val="WenQuanYi Zen Hei"/>
        <family val="2"/>
      </rPr>
      <t xml:space="preserve">年創業の木の注文住宅</t>
    </r>
  </si>
  <si>
    <r>
      <rPr>
        <sz val="10"/>
        <rFont val="Arial"/>
        <family val="0"/>
        <charset val="1"/>
      </rPr>
      <t xml:space="preserve">2022</t>
    </r>
    <r>
      <rPr>
        <sz val="10"/>
        <rFont val="WenQuanYi Zen Hei"/>
        <family val="2"/>
      </rPr>
      <t xml:space="preserve">年施工実績</t>
    </r>
    <r>
      <rPr>
        <sz val="10"/>
        <rFont val="Arial"/>
        <family val="0"/>
        <charset val="1"/>
      </rPr>
      <t xml:space="preserve">40</t>
    </r>
    <r>
      <rPr>
        <sz val="10"/>
        <rFont val="WenQuanYi Zen Hei"/>
        <family val="2"/>
      </rPr>
      <t xml:space="preserve">棟</t>
    </r>
  </si>
  <si>
    <r>
      <rPr>
        <sz val="10"/>
        <rFont val="WenQuanYi Zen Hei"/>
        <family val="2"/>
      </rPr>
      <t xml:space="preserve">年</t>
    </r>
    <r>
      <rPr>
        <sz val="10"/>
        <rFont val="Arial"/>
        <family val="0"/>
        <charset val="1"/>
      </rPr>
      <t xml:space="preserve">40</t>
    </r>
    <r>
      <rPr>
        <sz val="10"/>
        <rFont val="WenQuanYi Zen Hei"/>
        <family val="2"/>
      </rPr>
      <t xml:space="preserve">棟の中規模で伸びている会社であり、規格商品を加えればさらに伸ばせる</t>
    </r>
  </si>
  <si>
    <t xml:space="preserve">https://akitekt.net/koumutenmatome-1-27/</t>
  </si>
  <si>
    <t xml:space="preserve">千葉市</t>
  </si>
  <si>
    <t xml:space="preserve">創建住販</t>
  </si>
  <si>
    <t xml:space="preserve">平成元年に千葉市で開業した注文住宅会社。千葉市・市原市・四街道市が対応エリア</t>
  </si>
  <si>
    <r>
      <rPr>
        <sz val="10"/>
        <rFont val="WenQuanYi Zen Hei"/>
        <family val="2"/>
      </rPr>
      <t xml:space="preserve">累計引き渡し</t>
    </r>
    <r>
      <rPr>
        <sz val="10"/>
        <rFont val="Arial"/>
        <family val="0"/>
        <charset val="1"/>
      </rPr>
      <t xml:space="preserve">2,000</t>
    </r>
    <r>
      <rPr>
        <sz val="10"/>
        <rFont val="WenQuanYi Zen Hei"/>
        <family val="2"/>
      </rPr>
      <t xml:space="preserve">棟以上、年間約</t>
    </r>
    <r>
      <rPr>
        <sz val="10"/>
        <rFont val="Arial"/>
        <family val="0"/>
        <charset val="1"/>
      </rPr>
      <t xml:space="preserve">80</t>
    </r>
    <r>
      <rPr>
        <sz val="10"/>
        <rFont val="WenQuanYi Zen Hei"/>
        <family val="2"/>
      </rPr>
      <t xml:space="preserve">棟以上</t>
    </r>
  </si>
  <si>
    <t xml:space="preserve">棟数規模が対象帯の上位にあり、高性能な規格商品を加えれば商品の幅を広げられる</t>
  </si>
  <si>
    <t xml:space="preserve">https://news.mynavi.jp/real-estate-assessment/73482</t>
  </si>
  <si>
    <t xml:space="preserve">秋葉工務店</t>
  </si>
  <si>
    <r>
      <rPr>
        <sz val="10"/>
        <rFont val="WenQuanYi Zen Hei"/>
        <family val="2"/>
      </rPr>
      <t xml:space="preserve">エアコン</t>
    </r>
    <r>
      <rPr>
        <sz val="10"/>
        <rFont val="Arial"/>
        <family val="0"/>
        <charset val="1"/>
      </rPr>
      <t xml:space="preserve">1</t>
    </r>
    <r>
      <rPr>
        <sz val="10"/>
        <rFont val="WenQuanYi Zen Hei"/>
        <family val="2"/>
      </rPr>
      <t xml:space="preserve">台で快適な高断熱住宅</t>
    </r>
  </si>
  <si>
    <r>
      <rPr>
        <sz val="10"/>
        <rFont val="WenQuanYi Zen Hei"/>
        <family val="2"/>
      </rPr>
      <t xml:space="preserve">創業</t>
    </r>
    <r>
      <rPr>
        <sz val="10"/>
        <rFont val="Arial"/>
        <family val="0"/>
        <charset val="1"/>
      </rPr>
      <t xml:space="preserve">20</t>
    </r>
    <r>
      <rPr>
        <sz val="10"/>
        <rFont val="WenQuanYi Zen Hei"/>
        <family val="2"/>
      </rPr>
      <t xml:space="preserve">年で施工実績</t>
    </r>
    <r>
      <rPr>
        <sz val="10"/>
        <rFont val="Arial"/>
        <family val="0"/>
        <charset val="1"/>
      </rPr>
      <t xml:space="preserve">200</t>
    </r>
    <r>
      <rPr>
        <sz val="10"/>
        <rFont val="WenQuanYi Zen Hei"/>
        <family val="2"/>
      </rPr>
      <t xml:space="preserve">棟超（年平均約</t>
    </r>
    <r>
      <rPr>
        <sz val="10"/>
        <rFont val="Arial"/>
        <family val="0"/>
        <charset val="1"/>
      </rPr>
      <t xml:space="preserve">10</t>
    </r>
    <r>
      <rPr>
        <sz val="10"/>
        <rFont val="WenQuanYi Zen Hei"/>
        <family val="2"/>
      </rPr>
      <t xml:space="preserve">棟と算出）</t>
    </r>
  </si>
  <si>
    <t xml:space="preserve">小〜中規模の高断熱工務店で、規格商品を加えれば棟数を伸ばせる</t>
  </si>
  <si>
    <t xml:space="preserve">千葉市稲毛区</t>
  </si>
  <si>
    <t xml:space="preserve">秋田建設工業株式会社</t>
  </si>
  <si>
    <r>
      <rPr>
        <sz val="10"/>
        <rFont val="Arial"/>
        <family val="0"/>
        <charset val="1"/>
      </rPr>
      <t xml:space="preserve">1970</t>
    </r>
    <r>
      <rPr>
        <sz val="10"/>
        <rFont val="WenQuanYi Zen Hei"/>
        <family val="2"/>
      </rPr>
      <t xml:space="preserve">年設立。木造</t>
    </r>
    <r>
      <rPr>
        <sz val="10"/>
        <rFont val="Arial"/>
        <family val="0"/>
        <charset val="1"/>
      </rPr>
      <t xml:space="preserve">2×4</t>
    </r>
    <r>
      <rPr>
        <sz val="10"/>
        <rFont val="WenQuanYi Zen Hei"/>
        <family val="2"/>
      </rPr>
      <t xml:space="preserve">住宅が主力、自社設計・自社施工。大規模木造ホテル・店舗なども</t>
    </r>
  </si>
  <si>
    <r>
      <rPr>
        <sz val="10"/>
        <rFont val="WenQuanYi Zen Hei"/>
        <family val="2"/>
      </rPr>
      <t xml:space="preserve">従業員</t>
    </r>
    <r>
      <rPr>
        <sz val="10"/>
        <rFont val="Arial"/>
        <family val="0"/>
        <charset val="1"/>
      </rPr>
      <t xml:space="preserve">25</t>
    </r>
    <r>
      <rPr>
        <sz val="10"/>
        <rFont val="WenQuanYi Zen Hei"/>
        <family val="2"/>
      </rPr>
      <t xml:space="preserve">名、資本金</t>
    </r>
    <r>
      <rPr>
        <sz val="10"/>
        <rFont val="Arial"/>
        <family val="0"/>
        <charset val="1"/>
      </rPr>
      <t xml:space="preserve">1</t>
    </r>
    <r>
      <rPr>
        <sz val="10"/>
        <rFont val="WenQuanYi Zen Hei"/>
        <family val="2"/>
      </rPr>
      <t xml:space="preserve">億円、最近の年間完成棟数</t>
    </r>
    <r>
      <rPr>
        <sz val="10"/>
        <rFont val="Arial"/>
        <family val="0"/>
        <charset val="1"/>
      </rPr>
      <t xml:space="preserve">100</t>
    </r>
    <r>
      <rPr>
        <sz val="10"/>
        <rFont val="WenQuanYi Zen Hei"/>
        <family val="2"/>
      </rPr>
      <t xml:space="preserve">棟超（求人情報）</t>
    </r>
  </si>
  <si>
    <r>
      <rPr>
        <sz val="10"/>
        <rFont val="Arial"/>
        <family val="0"/>
        <charset val="1"/>
      </rPr>
      <t xml:space="preserve">2×4</t>
    </r>
    <r>
      <rPr>
        <sz val="10"/>
        <rFont val="WenQuanYi Zen Hei"/>
        <family val="2"/>
      </rPr>
      <t xml:space="preserve">の自社施工体制が整っているので、規格住宅を加えれば受注効率を上げられる</t>
    </r>
  </si>
  <si>
    <t xml:space="preserve">https://en-ambi.com/job/j-5351318/</t>
  </si>
  <si>
    <t xml:space="preserve">成田市</t>
  </si>
  <si>
    <t xml:space="preserve">ヒラヤマホーム株式会社</t>
  </si>
  <si>
    <r>
      <rPr>
        <sz val="10"/>
        <rFont val="Arial"/>
        <family val="0"/>
        <charset val="1"/>
      </rPr>
      <t xml:space="preserve">1901</t>
    </r>
    <r>
      <rPr>
        <sz val="10"/>
        <rFont val="WenQuanYi Zen Hei"/>
        <family val="2"/>
      </rPr>
      <t xml:space="preserve">年木材業創業の老舗。注文住宅・リフォーム。コミコミ価格の「ファミール</t>
    </r>
    <r>
      <rPr>
        <sz val="10"/>
        <rFont val="Arial"/>
        <family val="0"/>
        <charset val="1"/>
      </rPr>
      <t xml:space="preserve">WX</t>
    </r>
    <r>
      <rPr>
        <sz val="10"/>
        <rFont val="WenQuanYi Zen Hei"/>
        <family val="2"/>
      </rPr>
      <t xml:space="preserve">」プラン</t>
    </r>
  </si>
  <si>
    <r>
      <rPr>
        <sz val="10"/>
        <rFont val="WenQuanYi Zen Hei"/>
        <family val="2"/>
      </rPr>
      <t xml:space="preserve">コミコミの規格的プランは既にあるため、性能（断熱等級</t>
    </r>
    <r>
      <rPr>
        <sz val="10"/>
        <rFont val="Arial"/>
        <family val="0"/>
        <charset val="1"/>
      </rPr>
      <t xml:space="preserve">6</t>
    </r>
    <r>
      <rPr>
        <sz val="10"/>
        <rFont val="WenQuanYi Zen Hei"/>
        <family val="2"/>
      </rPr>
      <t xml:space="preserve">・太陽光標準）での差し替えを提案できる</t>
    </r>
  </si>
  <si>
    <t xml:space="preserve">https://www.value-press.com/pressrelease/159201 ; https://www.biz.ne.jp/company/manahome/</t>
  </si>
  <si>
    <t xml:space="preserve">旭市</t>
  </si>
  <si>
    <t xml:space="preserve">有限会社丸富士工務店</t>
  </si>
  <si>
    <r>
      <rPr>
        <sz val="10"/>
        <rFont val="WenQuanYi Zen Hei"/>
        <family val="2"/>
      </rPr>
      <t xml:space="preserve">創業</t>
    </r>
    <r>
      <rPr>
        <sz val="10"/>
        <rFont val="Arial"/>
        <family val="0"/>
        <charset val="1"/>
      </rPr>
      <t xml:space="preserve">50</t>
    </r>
    <r>
      <rPr>
        <sz val="10"/>
        <rFont val="WenQuanYi Zen Hei"/>
        <family val="2"/>
      </rPr>
      <t xml:space="preserve">年。営業専任を置かず専属担当が設計・施工監理・アフターまで担う自社責任施工</t>
    </r>
  </si>
  <si>
    <r>
      <rPr>
        <sz val="10"/>
        <rFont val="WenQuanYi Zen Hei"/>
        <family val="2"/>
      </rPr>
      <t xml:space="preserve">営業担当がおらず集客力が弱いとみられ、</t>
    </r>
    <r>
      <rPr>
        <sz val="10"/>
        <rFont val="Arial"/>
        <family val="0"/>
        <charset val="1"/>
      </rPr>
      <t xml:space="preserve">FC</t>
    </r>
    <r>
      <rPr>
        <sz val="10"/>
        <rFont val="WenQuanYi Zen Hei"/>
        <family val="2"/>
      </rPr>
      <t xml:space="preserve">の集客支援と規格商品が効く</t>
    </r>
  </si>
  <si>
    <t xml:space="preserve">https://tsukulink.net/chiba/city_121011/254263</t>
  </si>
  <si>
    <t xml:space="preserve">船橋市</t>
  </si>
  <si>
    <t xml:space="preserve">株式会社本間工務店</t>
  </si>
  <si>
    <t xml:space="preserve">ヒアリングから設計・施工までワンストップの注文住宅。高断熱・独自保証・設計力</t>
  </si>
  <si>
    <r>
      <rPr>
        <sz val="10"/>
        <rFont val="WenQuanYi Zen Hei"/>
        <family val="2"/>
      </rPr>
      <t xml:space="preserve">施工経験</t>
    </r>
    <r>
      <rPr>
        <sz val="10"/>
        <rFont val="Arial"/>
        <family val="0"/>
        <charset val="1"/>
      </rPr>
      <t xml:space="preserve">300</t>
    </r>
    <r>
      <rPr>
        <sz val="10"/>
        <rFont val="WenQuanYi Zen Hei"/>
        <family val="2"/>
      </rPr>
      <t xml:space="preserve">棟以上</t>
    </r>
  </si>
  <si>
    <t xml:space="preserve">設計力を売りにした注文住宅が中心で、規格商品の情報が無い</t>
  </si>
  <si>
    <t xml:space="preserve">https://funabashi.mypl.net/article/kurashi_funabashi/86372 ; https://honma-ltd.jp/media/chibakenn/</t>
  </si>
  <si>
    <t xml:space="preserve">茂原市</t>
  </si>
  <si>
    <t xml:space="preserve">協和ハウジング</t>
  </si>
  <si>
    <t xml:space="preserve">https://www.kyowa-housing.co.jp/</t>
  </si>
  <si>
    <r>
      <rPr>
        <sz val="10"/>
        <rFont val="Arial"/>
        <family val="0"/>
        <charset val="1"/>
      </rPr>
      <t xml:space="preserve">1977</t>
    </r>
    <r>
      <rPr>
        <sz val="10"/>
        <rFont val="WenQuanYi Zen Hei"/>
        <family val="2"/>
      </rPr>
      <t xml:space="preserve">年創業。茂原本社・東金支店の地域密着注文住宅</t>
    </r>
  </si>
  <si>
    <t xml:space="preserve">外房エリアの地場ビルダーで、大手やローコスト系と競う中で高性能規格住宅が武器になる</t>
  </si>
  <si>
    <t xml:space="preserve">佐倉市</t>
  </si>
  <si>
    <t xml:space="preserve">さくら住建</t>
  </si>
  <si>
    <r>
      <rPr>
        <sz val="10"/>
        <rFont val="Arial"/>
        <family val="0"/>
        <charset val="1"/>
      </rPr>
      <t xml:space="preserve">44</t>
    </r>
    <r>
      <rPr>
        <sz val="10"/>
        <rFont val="WenQuanYi Zen Hei"/>
        <family val="2"/>
      </rPr>
      <t xml:space="preserve">年の歴史。「家族がずっとつながる家」を掲げる注文住宅</t>
    </r>
  </si>
  <si>
    <t xml:space="preserve">地域密着の注文工務店で、商品ラインの拡充余地がある</t>
  </si>
  <si>
    <t xml:space="preserve">https://www.houzz.jp/professionals/general-contractor/%E4%BD%90%E5%80%89%E5%B8%82-04-jp-probr0-bo~t_16120~r_2111215</t>
  </si>
  <si>
    <t xml:space="preserve">木ここち家ラボ（オカムラホーム）</t>
  </si>
  <si>
    <r>
      <rPr>
        <sz val="10"/>
        <rFont val="Arial"/>
        <family val="0"/>
        <charset val="1"/>
      </rPr>
      <t xml:space="preserve">1995</t>
    </r>
    <r>
      <rPr>
        <sz val="10"/>
        <rFont val="WenQuanYi Zen Hei"/>
        <family val="2"/>
      </rPr>
      <t xml:space="preserve">年創業の木の注文住宅</t>
    </r>
  </si>
  <si>
    <t xml:space="preserve">地域の木造注文工務店で、規格・ローコスト帯の商品が確認できない</t>
  </si>
  <si>
    <t xml:space="preserve">君津市</t>
  </si>
  <si>
    <t xml:space="preserve">株式会社君津住宅</t>
  </si>
  <si>
    <r>
      <rPr>
        <sz val="10"/>
        <rFont val="Arial"/>
        <family val="0"/>
        <charset val="1"/>
      </rPr>
      <t xml:space="preserve">1990</t>
    </r>
    <r>
      <rPr>
        <sz val="10"/>
        <rFont val="WenQuanYi Zen Hei"/>
        <family val="2"/>
      </rPr>
      <t xml:space="preserve">年設立。高品質・低価格の注文住宅。木更津・君津・茂原に展示場、完全反響型営業</t>
    </r>
  </si>
  <si>
    <r>
      <rPr>
        <sz val="10"/>
        <rFont val="WenQuanYi Zen Hei"/>
        <family val="2"/>
      </rPr>
      <t xml:space="preserve">従業員</t>
    </r>
    <r>
      <rPr>
        <sz val="10"/>
        <rFont val="Arial"/>
        <family val="0"/>
        <charset val="1"/>
      </rPr>
      <t xml:space="preserve">250</t>
    </r>
    <r>
      <rPr>
        <sz val="10"/>
        <rFont val="WenQuanYi Zen Hei"/>
        <family val="2"/>
      </rPr>
      <t xml:space="preserve">名（</t>
    </r>
    <r>
      <rPr>
        <sz val="10"/>
        <rFont val="Arial"/>
        <family val="0"/>
        <charset val="1"/>
      </rPr>
      <t xml:space="preserve">doda</t>
    </r>
    <r>
      <rPr>
        <sz val="10"/>
        <rFont val="WenQuanYi Zen Hei"/>
        <family val="2"/>
      </rPr>
      <t xml:space="preserve">）</t>
    </r>
  </si>
  <si>
    <t xml:space="preserve">規模が対象帯を超え、低価格商品も既に持っているため適合度は低い</t>
  </si>
  <si>
    <t xml:space="preserve">https://doda.jp/DodaFront/View/CompanyJobs/j_id__10005586452/</t>
  </si>
  <si>
    <t xml:space="preserve">柏市</t>
  </si>
  <si>
    <t xml:space="preserve">株式会社グリーンホーム</t>
  </si>
  <si>
    <t xml:space="preserve">建築・不動産の総合サービス。新築は完全自由設計</t>
  </si>
  <si>
    <t xml:space="preserve">完全自由設計が主体で、不動産の顧客向けに規格住宅を売る導線が作れる</t>
  </si>
  <si>
    <t xml:space="preserve">https://crexgroup.com/ja/home-building/region/kashiwa-city-builder-ranking/</t>
  </si>
  <si>
    <t xml:space="preserve">流山市</t>
  </si>
  <si>
    <t xml:space="preserve">有限会社綱木工業（ハウジングツナキ）</t>
  </si>
  <si>
    <t xml:space="preserve">耐震補強・新築・リフォーム。流山・我孫子・松戸・柏が対応エリア</t>
  </si>
  <si>
    <t xml:space="preserve">耐震・リフォーム中心で、新築の集客商品として規格住宅を導入する余地がある</t>
  </si>
  <si>
    <t xml:space="preserve">https://www.biz.ne.jp/corporation/29241/</t>
  </si>
  <si>
    <t xml:space="preserve">株式会社フジ設計企画</t>
  </si>
  <si>
    <r>
      <rPr>
        <sz val="10"/>
        <rFont val="Arial"/>
        <family val="0"/>
        <charset val="1"/>
      </rPr>
      <t xml:space="preserve">1984</t>
    </r>
    <r>
      <rPr>
        <sz val="10"/>
        <rFont val="WenQuanYi Zen Hei"/>
        <family val="2"/>
      </rPr>
      <t xml:space="preserve">年創業。地域密着の工務店でアフターフォローに注力</t>
    </r>
  </si>
  <si>
    <t xml:space="preserve">地域密着の中小工務店で、商品力・集客を強化する余地がある</t>
  </si>
  <si>
    <t xml:space="preserve">https://funabashi.mypl.net/article/kurashi_funabashi/86372</t>
  </si>
  <si>
    <t xml:space="preserve">日動建設株式会社</t>
  </si>
  <si>
    <r>
      <rPr>
        <sz val="10"/>
        <rFont val="WenQuanYi Zen Hei"/>
        <family val="2"/>
      </rPr>
      <t xml:space="preserve">創業</t>
    </r>
    <r>
      <rPr>
        <sz val="10"/>
        <rFont val="Arial"/>
        <family val="0"/>
        <charset val="1"/>
      </rPr>
      <t xml:space="preserve">40</t>
    </r>
    <r>
      <rPr>
        <sz val="10"/>
        <rFont val="WenQuanYi Zen Hei"/>
        <family val="2"/>
      </rPr>
      <t xml:space="preserve">年以上。大工施工の木造住宅にこだわる地元工務店</t>
    </r>
  </si>
  <si>
    <t xml:space="preserve">職人型の木造工務店で規格商品が無く、集客商品が必要とみられる</t>
  </si>
  <si>
    <t xml:space="preserve">静岡県</t>
  </si>
  <si>
    <t xml:space="preserve">掛川市</t>
  </si>
  <si>
    <t xml:space="preserve">有限会社大忠工務店</t>
  </si>
  <si>
    <r>
      <rPr>
        <sz val="10"/>
        <rFont val="Arial"/>
        <family val="0"/>
        <charset val="1"/>
      </rPr>
      <t xml:space="preserve">1979</t>
    </r>
    <r>
      <rPr>
        <sz val="10"/>
        <rFont val="WenQuanYi Zen Hei"/>
        <family val="2"/>
      </rPr>
      <t xml:space="preserve">年創業。掛川中心に西部・中遠で木造注文住宅、リフォーム、寺社建築。企画にない自由設計が強み</t>
    </r>
  </si>
  <si>
    <t xml:space="preserve">「企画にない自由設計」を掲げる小規模工務店で規格商品が無く、若年層向けの低価格高性能商品で受注層を広げられる。</t>
  </si>
  <si>
    <t xml:space="preserve">https://compalyze.co.jp/company/4080402018059</t>
  </si>
  <si>
    <t xml:space="preserve">沼津市</t>
  </si>
  <si>
    <t xml:space="preserve">株式会社芹工務店</t>
  </si>
  <si>
    <r>
      <rPr>
        <sz val="10"/>
        <rFont val="WenQuanYi Zen Hei"/>
        <family val="2"/>
      </rPr>
      <t xml:space="preserve">沼津で</t>
    </r>
    <r>
      <rPr>
        <sz val="10"/>
        <rFont val="Arial"/>
        <family val="0"/>
        <charset val="1"/>
      </rPr>
      <t xml:space="preserve">30</t>
    </r>
    <r>
      <rPr>
        <sz val="10"/>
        <rFont val="WenQuanYi Zen Hei"/>
        <family val="2"/>
      </rPr>
      <t xml:space="preserve">年以上の地域密着工務店。新築注文住宅＋リフォーム、地元材の富士ひのき使用・デザインと性能の両立</t>
    </r>
  </si>
  <si>
    <t xml:space="preserve">注文住宅一本で規格・価格訴求商品が見当たらず、富士ひのきの性能訴求と組み合わせた入口商品として規格住宅を提案しやすい。</t>
  </si>
  <si>
    <t xml:space="preserve">https://en-gage.net/serikosaiyo_saiyo/work_17700223/</t>
  </si>
  <si>
    <t xml:space="preserve">有限会社富士ホームズデザイン</t>
  </si>
  <si>
    <r>
      <rPr>
        <sz val="10"/>
        <rFont val="WenQuanYi Zen Hei"/>
        <family val="2"/>
      </rPr>
      <t xml:space="preserve">一級建築士事務所兼工務店。自由設計注文住宅中心（平屋・二世帯・店舗併用）、耐震等級</t>
    </r>
    <r>
      <rPr>
        <sz val="10"/>
        <rFont val="Arial"/>
        <family val="0"/>
        <charset val="1"/>
      </rPr>
      <t xml:space="preserve">3</t>
    </r>
    <r>
      <rPr>
        <sz val="10"/>
        <rFont val="WenQuanYi Zen Hei"/>
        <family val="2"/>
      </rPr>
      <t xml:space="preserve">・制震・長期優良・断熱等級</t>
    </r>
    <r>
      <rPr>
        <sz val="10"/>
        <rFont val="Arial"/>
        <family val="0"/>
        <charset val="1"/>
      </rPr>
      <t xml:space="preserve">5</t>
    </r>
    <r>
      <rPr>
        <sz val="10"/>
        <rFont val="WenQuanYi Zen Hei"/>
        <family val="2"/>
      </rPr>
      <t xml:space="preserve">以上標準</t>
    </r>
  </si>
  <si>
    <r>
      <rPr>
        <sz val="10"/>
        <rFont val="WenQuanYi Zen Hei"/>
        <family val="2"/>
      </rPr>
      <t xml:space="preserve">性能仕様が近いので、規格化された断熱等級</t>
    </r>
    <r>
      <rPr>
        <sz val="10"/>
        <rFont val="Arial"/>
        <family val="0"/>
        <charset val="1"/>
      </rPr>
      <t xml:space="preserve">6</t>
    </r>
    <r>
      <rPr>
        <sz val="10"/>
        <rFont val="WenQuanYi Zen Hei"/>
        <family val="2"/>
      </rPr>
      <t xml:space="preserve">・太陽光標準の商品へ移りやすく、口コミ評価がまちまちなため集客面の支援も効きそう。</t>
    </r>
  </si>
  <si>
    <t xml:space="preserve">https://www.e-mansion.co.jp/bbs/thread/212986/</t>
  </si>
  <si>
    <t xml:space="preserve">株式会社アオイ建築</t>
  </si>
  <si>
    <r>
      <rPr>
        <sz val="10"/>
        <rFont val="WenQuanYi Zen Hei"/>
        <family val="2"/>
      </rPr>
      <t xml:space="preserve">ブランド「</t>
    </r>
    <r>
      <rPr>
        <sz val="10"/>
        <rFont val="Arial"/>
        <family val="0"/>
        <charset val="1"/>
      </rPr>
      <t xml:space="preserve">Hands Works</t>
    </r>
    <r>
      <rPr>
        <sz val="10"/>
        <rFont val="WenQuanYi Zen Hei"/>
        <family val="2"/>
      </rPr>
      <t xml:space="preserve">」。新築・リフォーム・不動産、店舗併用住宅・美容室も対応。富士宮・富士・裾野で施工</t>
    </r>
  </si>
  <si>
    <t xml:space="preserve">デザイン系の自由設計が中心で、価格帯の低い規格ラインを追加する余地がある。</t>
  </si>
  <si>
    <t xml:space="preserve">https://compalyze.co.jp/company/2080101011812</t>
  </si>
  <si>
    <t xml:space="preserve">富士市</t>
  </si>
  <si>
    <t xml:space="preserve">株式会社アフターホーム</t>
  </si>
  <si>
    <r>
      <rPr>
        <sz val="10"/>
        <rFont val="WenQuanYi Zen Hei"/>
        <family val="2"/>
      </rPr>
      <t xml:space="preserve">富士・富士宮・沼津で</t>
    </r>
    <r>
      <rPr>
        <sz val="10"/>
        <rFont val="Arial"/>
        <family val="0"/>
        <charset val="1"/>
      </rPr>
      <t xml:space="preserve">1995</t>
    </r>
    <r>
      <rPr>
        <sz val="10"/>
        <rFont val="WenQuanYi Zen Hei"/>
        <family val="2"/>
      </rPr>
      <t xml:space="preserve">年設立。完全自由設計＋コミコミ価格、「家賃並みの支払いで高品質住宅を」</t>
    </r>
  </si>
  <si>
    <r>
      <rPr>
        <sz val="10"/>
        <rFont val="WenQuanYi Zen Hei"/>
        <family val="2"/>
      </rPr>
      <t xml:space="preserve">価格訴求型の自由設計で、規格化すれば原価・工期を下げられ、高性能（等級</t>
    </r>
    <r>
      <rPr>
        <sz val="10"/>
        <rFont val="Arial"/>
        <family val="0"/>
        <charset val="1"/>
      </rPr>
      <t xml:space="preserve">3</t>
    </r>
    <r>
      <rPr>
        <sz val="10"/>
        <rFont val="WenQuanYi Zen Hei"/>
        <family val="2"/>
      </rPr>
      <t xml:space="preserve">・断熱</t>
    </r>
    <r>
      <rPr>
        <sz val="10"/>
        <rFont val="Arial"/>
        <family val="0"/>
        <charset val="1"/>
      </rPr>
      <t xml:space="preserve">6</t>
    </r>
    <r>
      <rPr>
        <sz val="10"/>
        <rFont val="WenQuanYi Zen Hei"/>
        <family val="2"/>
      </rPr>
      <t xml:space="preserve">・太陽光）の訴求も足せる。</t>
    </r>
  </si>
  <si>
    <t xml:space="preserve">https://compalyze.co.jp/company/9080102016036</t>
  </si>
  <si>
    <t xml:space="preserve">エコフィールド株式会社</t>
  </si>
  <si>
    <t xml:space="preserve">https://ecofield.jp/</t>
  </si>
  <si>
    <t xml:space="preserve">富士の麓で「自然と繋がるここちいい暮らし」を追求する地域密着工務店（富士市中里）</t>
  </si>
  <si>
    <t xml:space="preserve">ナチュラル系の自由設計が中心で、価格を抑えたい層向けの規格商品が見当たらない。</t>
  </si>
  <si>
    <t xml:space="preserve">https://www.city.fuji.shizuoka.jp/documents/4226/kentikuissiki_2.pdf</t>
  </si>
  <si>
    <t xml:space="preserve">富士木材株式会社</t>
  </si>
  <si>
    <r>
      <rPr>
        <sz val="10"/>
        <rFont val="Arial"/>
        <family val="0"/>
        <charset val="1"/>
      </rPr>
      <t xml:space="preserve">1913</t>
    </r>
    <r>
      <rPr>
        <sz val="10"/>
        <rFont val="WenQuanYi Zen Hei"/>
        <family val="2"/>
      </rPr>
      <t xml:space="preserve">年創業の製材業から梱包・物流・住宅事業へ展開。住宅ブランド「フジモクの家」</t>
    </r>
  </si>
  <si>
    <r>
      <rPr>
        <sz val="10"/>
        <rFont val="WenQuanYi Zen Hei"/>
        <family val="2"/>
      </rPr>
      <t xml:space="preserve">住宅は多角化事業の</t>
    </r>
    <r>
      <rPr>
        <sz val="10"/>
        <rFont val="Arial"/>
        <family val="0"/>
        <charset val="1"/>
      </rPr>
      <t xml:space="preserve">1</t>
    </r>
    <r>
      <rPr>
        <sz val="10"/>
        <rFont val="WenQuanYi Zen Hei"/>
        <family val="2"/>
      </rPr>
      <t xml:space="preserve">部門なので、規格商品パッケージで住宅部門の営業効率を上げる提案ができる。</t>
    </r>
  </si>
  <si>
    <t xml:space="preserve">https://www.city.fuji.shizuoka.jp/documents/16146/2-2_fujiokuzai.pdf</t>
  </si>
  <si>
    <t xml:space="preserve">株式会社原田工務店</t>
  </si>
  <si>
    <t xml:space="preserve">https://haradakomuten.com/index.html</t>
  </si>
  <si>
    <r>
      <rPr>
        <sz val="10"/>
        <rFont val="WenQuanYi Zen Hei"/>
        <family val="2"/>
      </rPr>
      <t xml:space="preserve">「ビリーブの家」ブランドの自由設計注文住宅。耐震等級</t>
    </r>
    <r>
      <rPr>
        <sz val="10"/>
        <rFont val="Arial"/>
        <family val="0"/>
        <charset val="1"/>
      </rPr>
      <t xml:space="preserve">3</t>
    </r>
    <r>
      <rPr>
        <sz val="10"/>
        <rFont val="WenQuanYi Zen Hei"/>
        <family val="2"/>
      </rPr>
      <t xml:space="preserve">・高気密高断熱標準、総額「お引渡し価格」提示</t>
    </r>
  </si>
  <si>
    <r>
      <rPr>
        <sz val="10"/>
        <rFont val="WenQuanYi Zen Hei"/>
        <family val="2"/>
      </rPr>
      <t xml:space="preserve">創立</t>
    </r>
    <r>
      <rPr>
        <sz val="10"/>
        <rFont val="Arial"/>
        <family val="0"/>
        <charset val="1"/>
      </rPr>
      <t xml:space="preserve">20</t>
    </r>
    <r>
      <rPr>
        <sz val="10"/>
        <rFont val="WenQuanYi Zen Hei"/>
        <family val="2"/>
      </rPr>
      <t xml:space="preserve">年以上</t>
    </r>
  </si>
  <si>
    <r>
      <rPr>
        <sz val="10"/>
        <rFont val="WenQuanYi Zen Hei"/>
        <family val="2"/>
      </rPr>
      <t xml:space="preserve">「ビリーブの家」ブランドで展開（</t>
    </r>
    <r>
      <rPr>
        <sz val="10"/>
        <rFont val="Arial"/>
        <family val="0"/>
        <charset val="1"/>
      </rPr>
      <t xml:space="preserve">FC</t>
    </r>
    <r>
      <rPr>
        <sz val="10"/>
        <rFont val="WenQuanYi Zen Hei"/>
        <family val="2"/>
      </rPr>
      <t xml:space="preserve">・ネットワークかは未確認）</t>
    </r>
  </si>
  <si>
    <t xml:space="preserve">総額提示で価格を訴求する自由設計なので、規格化で原価・工期をさらに下げられる。</t>
  </si>
  <si>
    <t xml:space="preserve">https://www.e-mansion.co.jp/bbs/thread/77347/</t>
  </si>
  <si>
    <t xml:space="preserve">株式会社藤田工務店</t>
  </si>
  <si>
    <t xml:space="preserve">https://zero-fujita.com/</t>
  </si>
  <si>
    <r>
      <rPr>
        <sz val="10"/>
        <rFont val="WenQuanYi Zen Hei"/>
        <family val="2"/>
      </rPr>
      <t xml:space="preserve">総合建築の設計施工・リフォーム・不動産。無垢材・漆喰の高気密高断熱健康住宅「</t>
    </r>
    <r>
      <rPr>
        <sz val="10"/>
        <rFont val="Arial"/>
        <family val="0"/>
        <charset val="1"/>
      </rPr>
      <t xml:space="preserve">0</t>
    </r>
    <r>
      <rPr>
        <sz val="10"/>
        <rFont val="WenQuanYi Zen Hei"/>
        <family val="2"/>
      </rPr>
      <t xml:space="preserve">宣言の家」が主力</t>
    </r>
  </si>
  <si>
    <r>
      <rPr>
        <sz val="10"/>
        <rFont val="WenQuanYi Zen Hei"/>
        <family val="2"/>
      </rPr>
      <t xml:space="preserve">「</t>
    </r>
    <r>
      <rPr>
        <sz val="10"/>
        <rFont val="Arial"/>
        <family val="0"/>
        <charset val="1"/>
      </rPr>
      <t xml:space="preserve">0</t>
    </r>
    <r>
      <rPr>
        <sz val="10"/>
        <rFont val="WenQuanYi Zen Hei"/>
        <family val="2"/>
      </rPr>
      <t xml:space="preserve">宣言の家」（住宅ネットワーク商品）を主力に展開</t>
    </r>
  </si>
  <si>
    <t xml:space="preserve">自然素材の高単価帯が主力のため、若年層向けの低価格帯規格商品を補完として追加できる余地がある。</t>
  </si>
  <si>
    <t xml:space="preserve">https://compalyze.co.jp/company/7080101000141</t>
  </si>
  <si>
    <t xml:space="preserve">浜松市</t>
  </si>
  <si>
    <t xml:space="preserve">株式会社ぬくもり工房</t>
  </si>
  <si>
    <r>
      <rPr>
        <sz val="10"/>
        <rFont val="WenQuanYi Zen Hei"/>
        <family val="2"/>
      </rPr>
      <t xml:space="preserve">「住たく</t>
    </r>
    <r>
      <rPr>
        <sz val="10"/>
        <rFont val="Arial"/>
        <family val="0"/>
        <charset val="1"/>
      </rPr>
      <t xml:space="preserve">eco</t>
    </r>
    <r>
      <rPr>
        <sz val="10"/>
        <rFont val="WenQuanYi Zen Hei"/>
        <family val="2"/>
      </rPr>
      <t xml:space="preserve">工房」運営。住宅・店舗建築、リフォーム、外構、施設運営（ぬくもりの森）。</t>
    </r>
    <r>
      <rPr>
        <sz val="10"/>
        <rFont val="Arial"/>
        <family val="0"/>
        <charset val="1"/>
      </rPr>
      <t xml:space="preserve">1998</t>
    </r>
    <r>
      <rPr>
        <sz val="10"/>
        <rFont val="WenQuanYi Zen Hei"/>
        <family val="2"/>
      </rPr>
      <t xml:space="preserve">年設立</t>
    </r>
  </si>
  <si>
    <r>
      <rPr>
        <sz val="10"/>
        <rFont val="WenQuanYi Zen Hei"/>
        <family val="2"/>
      </rPr>
      <t xml:space="preserve">資本金</t>
    </r>
    <r>
      <rPr>
        <sz val="10"/>
        <rFont val="Arial"/>
        <family val="0"/>
        <charset val="1"/>
      </rPr>
      <t xml:space="preserve">300</t>
    </r>
    <r>
      <rPr>
        <sz val="10"/>
        <rFont val="WenQuanYi Zen Hei"/>
        <family val="2"/>
      </rPr>
      <t xml:space="preserve">万円</t>
    </r>
  </si>
  <si>
    <r>
      <rPr>
        <sz val="10"/>
        <rFont val="WenQuanYi Zen Hei"/>
        <family val="2"/>
      </rPr>
      <t xml:space="preserve">集客力（イエタテ西部</t>
    </r>
    <r>
      <rPr>
        <sz val="10"/>
        <rFont val="Arial"/>
        <family val="0"/>
        <charset val="1"/>
      </rPr>
      <t xml:space="preserve">1</t>
    </r>
    <r>
      <rPr>
        <sz val="10"/>
        <rFont val="WenQuanYi Zen Hei"/>
        <family val="2"/>
      </rPr>
      <t xml:space="preserve">位）はあるので、受注の価格帯を広げる規格商品として提案できる。</t>
    </r>
  </si>
  <si>
    <t xml:space="preserve">https://www.revic.co.jp/pdf/news/2018/180329newsrelease.pdf</t>
  </si>
  <si>
    <t xml:space="preserve">浜松市中央区</t>
  </si>
  <si>
    <t xml:space="preserve">株式会社木の香建築工房</t>
  </si>
  <si>
    <t xml:space="preserve">天然木・無垢材の木造軸組、長期優良住宅対応の注文住宅、土地探し・不動産</t>
  </si>
  <si>
    <r>
      <rPr>
        <sz val="10"/>
        <rFont val="WenQuanYi Zen Hei"/>
        <family val="2"/>
      </rPr>
      <t xml:space="preserve">従業員</t>
    </r>
    <r>
      <rPr>
        <sz val="10"/>
        <rFont val="Arial"/>
        <family val="0"/>
        <charset val="1"/>
      </rPr>
      <t xml:space="preserve">5</t>
    </r>
    <r>
      <rPr>
        <sz val="10"/>
        <rFont val="WenQuanYi Zen Hei"/>
        <family val="2"/>
      </rPr>
      <t xml:space="preserve">名</t>
    </r>
  </si>
  <si>
    <t xml:space="preserve">少人数で設計・営業の手が足りないとみられ、規格商品と本部の集客支援で受注を増やしやすい。</t>
  </si>
  <si>
    <t xml:space="preserve">https://compalyze.co.jp/company/4080401013011</t>
  </si>
  <si>
    <t xml:space="preserve">浜松市浜名区</t>
  </si>
  <si>
    <t xml:space="preserve">都田建設株式会社</t>
  </si>
  <si>
    <r>
      <rPr>
        <sz val="10"/>
        <rFont val="Arial"/>
        <family val="0"/>
        <charset val="1"/>
      </rPr>
      <t xml:space="preserve">1996</t>
    </r>
    <r>
      <rPr>
        <sz val="10"/>
        <rFont val="WenQuanYi Zen Hei"/>
        <family val="2"/>
      </rPr>
      <t xml:space="preserve">年設立、木造注文住宅。デザイン性の高い商品スタイル（</t>
    </r>
    <r>
      <rPr>
        <sz val="10"/>
        <rFont val="Arial"/>
        <family val="0"/>
        <charset val="1"/>
      </rPr>
      <t xml:space="preserve">3</t>
    </r>
    <r>
      <rPr>
        <sz val="10"/>
        <rFont val="WenQuanYi Zen Hei"/>
        <family val="2"/>
      </rPr>
      <t xml:space="preserve">スタイル）を展開</t>
    </r>
  </si>
  <si>
    <r>
      <rPr>
        <sz val="10"/>
        <rFont val="WenQuanYi Zen Hei"/>
        <family val="2"/>
      </rPr>
      <t xml:space="preserve">社会保険被保険者</t>
    </r>
    <r>
      <rPr>
        <sz val="10"/>
        <rFont val="Arial"/>
        <family val="0"/>
        <charset val="1"/>
      </rPr>
      <t xml:space="preserve">44</t>
    </r>
    <r>
      <rPr>
        <sz val="10"/>
        <rFont val="WenQuanYi Zen Hei"/>
        <family val="2"/>
      </rPr>
      <t xml:space="preserve">名／従業員</t>
    </r>
    <r>
      <rPr>
        <sz val="10"/>
        <rFont val="Arial"/>
        <family val="0"/>
        <charset val="1"/>
      </rPr>
      <t xml:space="preserve">65</t>
    </r>
    <r>
      <rPr>
        <sz val="10"/>
        <rFont val="WenQuanYi Zen Hei"/>
        <family val="2"/>
      </rPr>
      <t xml:space="preserve">名（パート含む）</t>
    </r>
  </si>
  <si>
    <t xml:space="preserve">中規模で自由設計の注文住宅が主力のため、低価格帯の入口商品を追加できる余地がある（ブランド力は強い）。</t>
  </si>
  <si>
    <t xml:space="preserve">https://compalyze.co.jp/company/2080401006396</t>
  </si>
  <si>
    <t xml:space="preserve">湖西市</t>
  </si>
  <si>
    <r>
      <rPr>
        <sz val="10"/>
        <rFont val="WenQuanYi Zen Hei"/>
        <family val="2"/>
      </rPr>
      <t xml:space="preserve">株式会社</t>
    </r>
    <r>
      <rPr>
        <sz val="10"/>
        <rFont val="Arial"/>
        <family val="0"/>
        <charset val="1"/>
      </rPr>
      <t xml:space="preserve">CRAFT</t>
    </r>
  </si>
  <si>
    <r>
      <rPr>
        <sz val="10"/>
        <rFont val="WenQuanYi Zen Hei"/>
        <family val="2"/>
      </rPr>
      <t xml:space="preserve">西部で</t>
    </r>
    <r>
      <rPr>
        <sz val="10"/>
        <rFont val="Arial"/>
        <family val="0"/>
        <charset val="1"/>
      </rPr>
      <t xml:space="preserve">20</t>
    </r>
    <r>
      <rPr>
        <sz val="10"/>
        <rFont val="WenQuanYi Zen Hei"/>
        <family val="2"/>
      </rPr>
      <t xml:space="preserve">年以上の地域密着。</t>
    </r>
    <r>
      <rPr>
        <sz val="10"/>
        <rFont val="Arial"/>
        <family val="0"/>
        <charset val="1"/>
      </rPr>
      <t xml:space="preserve">CRAFT SELECT</t>
    </r>
    <r>
      <rPr>
        <sz val="10"/>
        <rFont val="WenQuanYi Zen Hei"/>
        <family val="2"/>
      </rPr>
      <t xml:space="preserve">の「</t>
    </r>
    <r>
      <rPr>
        <sz val="10"/>
        <rFont val="Arial"/>
        <family val="0"/>
        <charset val="1"/>
      </rPr>
      <t xml:space="preserve">Arie</t>
    </r>
    <r>
      <rPr>
        <sz val="10"/>
        <rFont val="WenQuanYi Zen Hei"/>
        <family val="2"/>
      </rPr>
      <t xml:space="preserve">」（長期優良）・「</t>
    </r>
    <r>
      <rPr>
        <sz val="10"/>
        <rFont val="Arial"/>
        <family val="0"/>
        <charset val="1"/>
      </rPr>
      <t xml:space="preserve">HUCK</t>
    </r>
    <r>
      <rPr>
        <sz val="10"/>
        <rFont val="WenQuanYi Zen Hei"/>
        <family val="2"/>
      </rPr>
      <t xml:space="preserve">」（自然素材）・「</t>
    </r>
    <r>
      <rPr>
        <sz val="10"/>
        <rFont val="Arial"/>
        <family val="0"/>
        <charset val="1"/>
      </rPr>
      <t xml:space="preserve">HIRAYA</t>
    </r>
    <r>
      <rPr>
        <sz val="10"/>
        <rFont val="WenQuanYi Zen Hei"/>
        <family val="2"/>
      </rPr>
      <t xml:space="preserve">」（平屋）</t>
    </r>
  </si>
  <si>
    <t xml:space="preserve">自社商品はあるものの低価格帯の高性能規格は見当たらず、ラインアップを補う提案ができる。</t>
  </si>
  <si>
    <t xml:space="preserve">https://compalyze.co.jp/company/4080401011056</t>
  </si>
  <si>
    <t xml:space="preserve">藤枝市</t>
  </si>
  <si>
    <t xml:space="preserve">有限会社仲田工務店</t>
  </si>
  <si>
    <t xml:space="preserve">地域密着の一級建築士事務所。自然素材を多用した高性能注文住宅、リフォーム、構造調査</t>
  </si>
  <si>
    <t xml:space="preserve">小規模な自由設計の工務店で、商品化・集客の仕組みを外から取り入れる効果が大きい。</t>
  </si>
  <si>
    <t xml:space="preserve">https://compalyze.co.jp/company/3080401003509</t>
  </si>
  <si>
    <t xml:space="preserve">三島市</t>
  </si>
  <si>
    <t xml:space="preserve">株式会社鈴木工務店</t>
  </si>
  <si>
    <r>
      <rPr>
        <sz val="10"/>
        <rFont val="Arial"/>
        <family val="0"/>
        <charset val="1"/>
      </rPr>
      <t xml:space="preserve">1958</t>
    </r>
    <r>
      <rPr>
        <sz val="10"/>
        <rFont val="WenQuanYi Zen Hei"/>
        <family val="2"/>
      </rPr>
      <t xml:space="preserve">年創業。伊豆箱根の旅館・ホテル建築で培った技術。住宅・集合住宅・商業施設まで総合建築</t>
    </r>
  </si>
  <si>
    <r>
      <rPr>
        <sz val="10"/>
        <rFont val="WenQuanYi Zen Hei"/>
        <family val="2"/>
      </rPr>
      <t xml:space="preserve">従業員</t>
    </r>
    <r>
      <rPr>
        <sz val="10"/>
        <rFont val="Arial"/>
        <family val="0"/>
        <charset val="1"/>
      </rPr>
      <t xml:space="preserve">11-100</t>
    </r>
    <r>
      <rPr>
        <sz val="10"/>
        <rFont val="WenQuanYi Zen Hei"/>
        <family val="2"/>
      </rPr>
      <t xml:space="preserve">名（求人情報）</t>
    </r>
  </si>
  <si>
    <r>
      <rPr>
        <sz val="10"/>
        <rFont val="WenQuanYi Zen Hei"/>
        <family val="2"/>
      </rPr>
      <t xml:space="preserve">競合</t>
    </r>
    <r>
      <rPr>
        <sz val="10"/>
        <rFont val="Arial"/>
        <family val="0"/>
        <charset val="1"/>
      </rPr>
      <t xml:space="preserve">FC</t>
    </r>
    <r>
      <rPr>
        <sz val="10"/>
        <rFont val="WenQuanYi Zen Hei"/>
        <family val="2"/>
      </rPr>
      <t xml:space="preserve">加盟（</t>
    </r>
    <r>
      <rPr>
        <sz val="10"/>
        <rFont val="Arial"/>
        <family val="0"/>
        <charset val="1"/>
      </rPr>
      <t xml:space="preserve">R+house</t>
    </r>
    <r>
      <rPr>
        <sz val="10"/>
        <rFont val="WenQuanYi Zen Hei"/>
        <family val="2"/>
      </rPr>
      <t xml:space="preserve">三島）</t>
    </r>
  </si>
  <si>
    <r>
      <rPr>
        <sz val="10"/>
        <rFont val="Arial"/>
        <family val="0"/>
        <charset val="1"/>
      </rPr>
      <t xml:space="preserve">R+house</t>
    </r>
    <r>
      <rPr>
        <sz val="10"/>
        <rFont val="WenQuanYi Zen Hei"/>
        <family val="2"/>
      </rPr>
      <t xml:space="preserve">で高価格帯デザイン住宅を扱っているため、ロイヤリティ無料の低価格帯規格で下の価格帯を補う提案になる。</t>
    </r>
  </si>
  <si>
    <t xml:space="preserve">https://mynavi-agent.jp/corpdetail/30451/</t>
  </si>
  <si>
    <t xml:space="preserve">株式会社寿建設</t>
  </si>
  <si>
    <t xml:space="preserve">注文住宅・店舗建設・リフォーム・不動産を総合的に手掛ける</t>
  </si>
  <si>
    <t xml:space="preserve">住宅以外の事業も抱えており、注文住宅部門を規格化して効率を上げる余地がある（情報不足）。</t>
  </si>
  <si>
    <t xml:space="preserve">焼津市</t>
  </si>
  <si>
    <t xml:space="preserve">株式会社山田工務店</t>
  </si>
  <si>
    <r>
      <rPr>
        <sz val="10"/>
        <rFont val="WenQuanYi Zen Hei"/>
        <family val="2"/>
      </rPr>
      <t xml:space="preserve">新築</t>
    </r>
    <r>
      <rPr>
        <sz val="10"/>
        <rFont val="Arial"/>
        <family val="0"/>
        <charset val="1"/>
      </rPr>
      <t xml:space="preserve">HAPPY HOUSE</t>
    </r>
    <r>
      <rPr>
        <sz val="10"/>
        <rFont val="WenQuanYi Zen Hei"/>
        <family val="2"/>
      </rPr>
      <t xml:space="preserve">、企画型注文住宅</t>
    </r>
    <r>
      <rPr>
        <sz val="10"/>
        <rFont val="Arial"/>
        <family val="0"/>
        <charset val="1"/>
      </rPr>
      <t xml:space="preserve">JUST LUCKY HOUSE</t>
    </r>
    <r>
      <rPr>
        <sz val="10"/>
        <rFont val="WenQuanYi Zen Hei"/>
        <family val="2"/>
      </rPr>
      <t xml:space="preserve">（</t>
    </r>
    <r>
      <rPr>
        <sz val="10"/>
        <rFont val="Arial"/>
        <family val="0"/>
        <charset val="1"/>
      </rPr>
      <t xml:space="preserve">2019</t>
    </r>
    <r>
      <rPr>
        <sz val="10"/>
        <rFont val="WenQuanYi Zen Hei"/>
        <family val="2"/>
      </rPr>
      <t xml:space="preserve">年〜）、リフォーム、建売の</t>
    </r>
    <r>
      <rPr>
        <sz val="10"/>
        <rFont val="Arial"/>
        <family val="0"/>
        <charset val="1"/>
      </rPr>
      <t xml:space="preserve">4</t>
    </r>
    <r>
      <rPr>
        <sz val="10"/>
        <rFont val="WenQuanYi Zen Hei"/>
        <family val="2"/>
      </rPr>
      <t xml:space="preserve">事業</t>
    </r>
  </si>
  <si>
    <r>
      <rPr>
        <sz val="10"/>
        <rFont val="WenQuanYi Zen Hei"/>
        <family val="2"/>
      </rPr>
      <t xml:space="preserve">従業員</t>
    </r>
    <r>
      <rPr>
        <sz val="10"/>
        <rFont val="Arial"/>
        <family val="0"/>
        <charset val="1"/>
      </rPr>
      <t xml:space="preserve">124</t>
    </r>
    <r>
      <rPr>
        <sz val="10"/>
        <rFont val="WenQuanYi Zen Hei"/>
        <family val="2"/>
      </rPr>
      <t xml:space="preserve">人、資本金</t>
    </r>
    <r>
      <rPr>
        <sz val="10"/>
        <rFont val="Arial"/>
        <family val="0"/>
        <charset val="1"/>
      </rPr>
      <t xml:space="preserve">10</t>
    </r>
    <r>
      <rPr>
        <sz val="10"/>
        <rFont val="WenQuanYi Zen Hei"/>
        <family val="2"/>
      </rPr>
      <t xml:space="preserve">百万円、</t>
    </r>
    <r>
      <rPr>
        <sz val="10"/>
        <rFont val="Arial"/>
        <family val="0"/>
        <charset val="1"/>
      </rPr>
      <t xml:space="preserve">1976</t>
    </r>
    <r>
      <rPr>
        <sz val="10"/>
        <rFont val="WenQuanYi Zen Hei"/>
        <family val="2"/>
      </rPr>
      <t xml:space="preserve">年設立</t>
    </r>
  </si>
  <si>
    <r>
      <rPr>
        <sz val="10"/>
        <rFont val="WenQuanYi Zen Hei"/>
        <family val="2"/>
      </rPr>
      <t xml:space="preserve">自社の企画型ブランドあり（</t>
    </r>
    <r>
      <rPr>
        <sz val="10"/>
        <rFont val="Arial"/>
        <family val="0"/>
        <charset val="1"/>
      </rPr>
      <t xml:space="preserve">JUST LUCKY HOUSE</t>
    </r>
    <r>
      <rPr>
        <sz val="10"/>
        <rFont val="WenQuanYi Zen Hei"/>
        <family val="2"/>
      </rPr>
      <t xml:space="preserve">）</t>
    </r>
  </si>
  <si>
    <t xml:space="preserve">自社で規格商品を持つので適合度は低く、高性能仕様の別ブランドとしてなら検討余地がある程度。</t>
  </si>
  <si>
    <t xml:space="preserve">https://www.r-agent.com/company/a9425/</t>
  </si>
  <si>
    <t xml:space="preserve">西遠建設株式会社</t>
  </si>
  <si>
    <r>
      <rPr>
        <sz val="10"/>
        <rFont val="WenQuanYi Zen Hei"/>
        <family val="2"/>
      </rPr>
      <t xml:space="preserve">土木・河川改修を基盤とする建設会社。住宅は</t>
    </r>
    <r>
      <rPr>
        <sz val="10"/>
        <rFont val="Arial"/>
        <family val="0"/>
        <charset val="1"/>
      </rPr>
      <t xml:space="preserve">R+house</t>
    </r>
    <r>
      <rPr>
        <sz val="10"/>
        <rFont val="WenQuanYi Zen Hei"/>
        <family val="2"/>
      </rPr>
      <t xml:space="preserve">藤枝として展開</t>
    </r>
  </si>
  <si>
    <r>
      <rPr>
        <sz val="10"/>
        <rFont val="WenQuanYi Zen Hei"/>
        <family val="2"/>
      </rPr>
      <t xml:space="preserve">推定正社員約</t>
    </r>
    <r>
      <rPr>
        <sz val="10"/>
        <rFont val="Arial"/>
        <family val="0"/>
        <charset val="1"/>
      </rPr>
      <t xml:space="preserve">40</t>
    </r>
    <r>
      <rPr>
        <sz val="10"/>
        <rFont val="WenQuanYi Zen Hei"/>
        <family val="2"/>
      </rPr>
      <t xml:space="preserve">名</t>
    </r>
  </si>
  <si>
    <r>
      <rPr>
        <sz val="10"/>
        <rFont val="WenQuanYi Zen Hei"/>
        <family val="2"/>
      </rPr>
      <t xml:space="preserve">競合</t>
    </r>
    <r>
      <rPr>
        <sz val="10"/>
        <rFont val="Arial"/>
        <family val="0"/>
        <charset val="1"/>
      </rPr>
      <t xml:space="preserve">FC</t>
    </r>
    <r>
      <rPr>
        <sz val="10"/>
        <rFont val="WenQuanYi Zen Hei"/>
        <family val="2"/>
      </rPr>
      <t xml:space="preserve">加盟（</t>
    </r>
    <r>
      <rPr>
        <sz val="10"/>
        <rFont val="Arial"/>
        <family val="0"/>
        <charset val="1"/>
      </rPr>
      <t xml:space="preserve">R+house</t>
    </r>
    <r>
      <rPr>
        <sz val="10"/>
        <rFont val="WenQuanYi Zen Hei"/>
        <family val="2"/>
      </rPr>
      <t xml:space="preserve">藤枝）</t>
    </r>
  </si>
  <si>
    <r>
      <rPr>
        <sz val="10"/>
        <rFont val="Arial"/>
        <family val="0"/>
        <charset val="1"/>
      </rPr>
      <t xml:space="preserve">R+house</t>
    </r>
    <r>
      <rPr>
        <sz val="10"/>
        <rFont val="WenQuanYi Zen Hei"/>
        <family val="2"/>
      </rPr>
      <t xml:space="preserve">の高価格帯に加え、ロイヤリティ無料の規格住宅で下の価格帯を取り込める。</t>
    </r>
  </si>
  <si>
    <t xml:space="preserve">https://ouchi-keikaku.heteml.net/cyumonjyutaku-osusume-shizuoka/</t>
  </si>
  <si>
    <t xml:space="preserve">静岡市駿河区</t>
  </si>
  <si>
    <t xml:space="preserve">株式会社福工房</t>
  </si>
  <si>
    <t xml:space="preserve">https://fukukobo-shizuoka.net/</t>
  </si>
  <si>
    <r>
      <rPr>
        <sz val="10"/>
        <rFont val="Arial"/>
        <family val="0"/>
        <charset val="1"/>
      </rPr>
      <t xml:space="preserve">2025</t>
    </r>
    <r>
      <rPr>
        <sz val="10"/>
        <rFont val="WenQuanYi Zen Hei"/>
        <family val="2"/>
      </rPr>
      <t xml:space="preserve">年に創業</t>
    </r>
    <r>
      <rPr>
        <sz val="10"/>
        <rFont val="Arial"/>
        <family val="0"/>
        <charset val="1"/>
      </rPr>
      <t xml:space="preserve">20</t>
    </r>
    <r>
      <rPr>
        <sz val="10"/>
        <rFont val="WenQuanYi Zen Hei"/>
        <family val="2"/>
      </rPr>
      <t xml:space="preserve">年の住宅メーカー。静岡から愛知・神奈川・埼玉・千葉へ拡大中</t>
    </r>
  </si>
  <si>
    <r>
      <rPr>
        <sz val="10"/>
        <rFont val="WenQuanYi Zen Hei"/>
        <family val="2"/>
      </rPr>
      <t xml:space="preserve">自社で広域展開する成長型のため、</t>
    </r>
    <r>
      <rPr>
        <sz val="10"/>
        <rFont val="Arial"/>
        <family val="0"/>
        <charset val="1"/>
      </rPr>
      <t xml:space="preserve">FC</t>
    </r>
    <r>
      <rPr>
        <sz val="10"/>
        <rFont val="WenQuanYi Zen Hei"/>
        <family val="2"/>
      </rPr>
      <t xml:space="preserve">加盟の必要性は低いとみられる。</t>
    </r>
  </si>
  <si>
    <t xml:space="preserve">https://job.mynavi.jp/27/pc/search/corp201435/outline.html</t>
  </si>
  <si>
    <t xml:space="preserve">愛知県</t>
  </si>
  <si>
    <t xml:space="preserve">一宮市</t>
  </si>
  <si>
    <t xml:space="preserve">河合工務店</t>
  </si>
  <si>
    <r>
      <rPr>
        <sz val="10"/>
        <rFont val="Arial"/>
        <family val="0"/>
        <charset val="1"/>
      </rPr>
      <t xml:space="preserve">1970</t>
    </r>
    <r>
      <rPr>
        <sz val="10"/>
        <rFont val="WenQuanYi Zen Hei"/>
        <family val="2"/>
      </rPr>
      <t xml:space="preserve">年創業。日本伝統の木造軸組工法にこだわった注文住宅</t>
    </r>
  </si>
  <si>
    <t xml:space="preserve">老舗の在来工法による注文住宅一本で規格・ローコスト商品が見当たらず、若年層を取り込む規格商品として刺さりやすい。</t>
  </si>
  <si>
    <t xml:space="preserve">https://life-designs.jp/webmagazine/housing-ichinomiya/</t>
  </si>
  <si>
    <t xml:space="preserve">春日井市</t>
  </si>
  <si>
    <t xml:space="preserve">グリンホーム</t>
  </si>
  <si>
    <r>
      <rPr>
        <sz val="10"/>
        <rFont val="Arial"/>
        <family val="0"/>
        <charset val="1"/>
      </rPr>
      <t xml:space="preserve">1986</t>
    </r>
    <r>
      <rPr>
        <sz val="10"/>
        <rFont val="WenQuanYi Zen Hei"/>
        <family val="2"/>
      </rPr>
      <t xml:space="preserve">年創業、春日井で完全自由設計住宅・分譲・リフォーム、多様な構造に対応</t>
    </r>
  </si>
  <si>
    <r>
      <rPr>
        <sz val="10"/>
        <rFont val="Arial"/>
        <family val="0"/>
        <charset val="1"/>
      </rPr>
      <t xml:space="preserve">30</t>
    </r>
    <r>
      <rPr>
        <sz val="10"/>
        <rFont val="WenQuanYi Zen Hei"/>
        <family val="2"/>
      </rPr>
      <t xml:space="preserve">年以上の地場工務店で完全自由設計が中心、規格商品が見当たらない。</t>
    </r>
  </si>
  <si>
    <t xml:space="preserve">https://life-designs.jp/webmagazine/housing-kasugai/</t>
  </si>
  <si>
    <t xml:space="preserve">スペースラボ</t>
  </si>
  <si>
    <r>
      <rPr>
        <sz val="10"/>
        <rFont val="WenQuanYi Zen Hei"/>
        <family val="2"/>
      </rPr>
      <t xml:space="preserve">名古屋市〜尾張全域（本社から車</t>
    </r>
    <r>
      <rPr>
        <sz val="10"/>
        <rFont val="Arial"/>
        <family val="0"/>
        <charset val="1"/>
      </rPr>
      <t xml:space="preserve">1</t>
    </r>
    <r>
      <rPr>
        <sz val="10"/>
        <rFont val="WenQuanYi Zen Hei"/>
        <family val="2"/>
      </rPr>
      <t xml:space="preserve">時間圏）、人生設計から考える家づくり</t>
    </r>
  </si>
  <si>
    <t xml:space="preserve">資金計画から提案するスタイルなので、価格が明快な規格商品と相性が良い。</t>
  </si>
  <si>
    <t xml:space="preserve">https://news.mynavi.jp/real-estate-assessment/74057</t>
  </si>
  <si>
    <t xml:space="preserve">小牧市</t>
  </si>
  <si>
    <t xml:space="preserve">株式会社広和木材</t>
  </si>
  <si>
    <t xml:space="preserve">自社製材工場を持ち、無垢材をふんだんに使った住宅</t>
  </si>
  <si>
    <t xml:space="preserve">製材を自社で持つ強みがあり、規格住宅の構造材の供給と販売の両面で組みやすい。</t>
  </si>
  <si>
    <t xml:space="preserve">https://base-on.com/media/aichi-komaki-city/</t>
  </si>
  <si>
    <t xml:space="preserve">岡崎市</t>
  </si>
  <si>
    <t xml:space="preserve">セブンハウス</t>
  </si>
  <si>
    <t xml:space="preserve">https://sevenhouse.jp/</t>
  </si>
  <si>
    <t xml:space="preserve">岡崎中心に西三河（岡崎・豊田・安城など）で新築注文住宅・リフォーム・リノベ</t>
  </si>
  <si>
    <t xml:space="preserve">西三河の地場工務店で、高性能規格の商品を追加できる余地がある。</t>
  </si>
  <si>
    <t xml:space="preserve">三国住宅</t>
  </si>
  <si>
    <t xml:space="preserve">国産・自然素材の木の家、「安心・健康・自由」な家づくり</t>
  </si>
  <si>
    <t xml:space="preserve">自然素材の自由設計が中心で、低価格帯の高性能規格商品で補完できる。</t>
  </si>
  <si>
    <t xml:space="preserve">株式会社マスターズ</t>
  </si>
  <si>
    <t xml:space="preserve">https://www.likehome-masters.com/</t>
  </si>
  <si>
    <t xml:space="preserve">春日井・小牧・犬山・守山区・北名古屋で自由設計の家づくり</t>
  </si>
  <si>
    <t xml:space="preserve">尾張北部の自由設計工務店で、規格商品により営業の生産性を上げられる。</t>
  </si>
  <si>
    <t xml:space="preserve">江南市</t>
  </si>
  <si>
    <t xml:space="preserve">安井建設株式会社</t>
  </si>
  <si>
    <r>
      <rPr>
        <sz val="10"/>
        <rFont val="WenQuanYi Zen Hei"/>
        <family val="2"/>
      </rPr>
      <t xml:space="preserve">ブランド「</t>
    </r>
    <r>
      <rPr>
        <sz val="10"/>
        <rFont val="Arial"/>
        <family val="0"/>
        <charset val="1"/>
      </rPr>
      <t xml:space="preserve">Home&amp;nico</t>
    </r>
    <r>
      <rPr>
        <sz val="10"/>
        <rFont val="WenQuanYi Zen Hei"/>
        <family val="2"/>
      </rPr>
      <t xml:space="preserve">」。耐震等級</t>
    </r>
    <r>
      <rPr>
        <sz val="10"/>
        <rFont val="Arial"/>
        <family val="0"/>
        <charset val="1"/>
      </rPr>
      <t xml:space="preserve">3</t>
    </r>
    <r>
      <rPr>
        <sz val="10"/>
        <rFont val="WenQuanYi Zen Hei"/>
        <family val="2"/>
      </rPr>
      <t xml:space="preserve">・</t>
    </r>
    <r>
      <rPr>
        <sz val="10"/>
        <rFont val="Arial"/>
        <family val="0"/>
        <charset val="1"/>
      </rPr>
      <t xml:space="preserve">HEAT20 G2</t>
    </r>
    <r>
      <rPr>
        <sz val="10"/>
        <rFont val="WenQuanYi Zen Hei"/>
        <family val="2"/>
      </rPr>
      <t xml:space="preserve">を標準</t>
    </r>
  </si>
  <si>
    <r>
      <rPr>
        <sz val="10"/>
        <rFont val="WenQuanYi Zen Hei"/>
        <family val="2"/>
      </rPr>
      <t xml:space="preserve">性能仕様が</t>
    </r>
    <r>
      <rPr>
        <sz val="10"/>
        <rFont val="Arial"/>
        <family val="0"/>
        <charset val="1"/>
      </rPr>
      <t xml:space="preserve">LIFE X</t>
    </r>
    <r>
      <rPr>
        <sz val="10"/>
        <rFont val="WenQuanYi Zen Hei"/>
        <family val="2"/>
      </rPr>
      <t xml:space="preserve">と近く、規格の低価格ラインとして取り込みやすい。</t>
    </r>
  </si>
  <si>
    <t xml:space="preserve">https://realestate.news.mynavi.jp/housemaker-ranking/aichi-komuten-osusume</t>
  </si>
  <si>
    <t xml:space="preserve">大原建設</t>
  </si>
  <si>
    <t xml:space="preserve">春日井・小牧中心に新築注文住宅・リフォーム・店舗設計</t>
  </si>
  <si>
    <t xml:space="preserve">注文住宅とリフォーム・店舗を兼業しており、新築の規格化で効率を上げられる（情報不足）。</t>
  </si>
  <si>
    <t xml:space="preserve">株式会社善匠</t>
  </si>
  <si>
    <t xml:space="preserve">フルオーダー住宅から規格住宅まで幅広い家づくり</t>
  </si>
  <si>
    <t xml:space="preserve">自社の規格住宅あり</t>
  </si>
  <si>
    <t xml:space="preserve">自社で規格住宅を持っており、適合度は低い。</t>
  </si>
  <si>
    <t xml:space="preserve">上村建設（ユースタイルハウス）</t>
  </si>
  <si>
    <r>
      <rPr>
        <sz val="10"/>
        <rFont val="WenQuanYi Zen Hei"/>
        <family val="2"/>
      </rPr>
      <t xml:space="preserve">ブランド「ユースタイルハウス」。くふうイエタテ</t>
    </r>
    <r>
      <rPr>
        <sz val="10"/>
        <rFont val="Arial"/>
        <family val="0"/>
        <charset val="1"/>
      </rPr>
      <t xml:space="preserve">2026</t>
    </r>
    <r>
      <rPr>
        <sz val="10"/>
        <rFont val="WenQuanYi Zen Hei"/>
        <family val="2"/>
      </rPr>
      <t xml:space="preserve">上半期 愛知三河</t>
    </r>
    <r>
      <rPr>
        <sz val="10"/>
        <rFont val="Arial"/>
        <family val="0"/>
        <charset val="1"/>
      </rPr>
      <t xml:space="preserve">1</t>
    </r>
    <r>
      <rPr>
        <sz val="10"/>
        <rFont val="WenQuanYi Zen Hei"/>
        <family val="2"/>
      </rPr>
      <t xml:space="preserve">位</t>
    </r>
  </si>
  <si>
    <t xml:space="preserve">集客力は高いので、受注の価格帯を広げる規格商品として提案できる（詳細は要確認）。</t>
  </si>
  <si>
    <t xml:space="preserve">https://www.sumailab.net/P23/A6/rankings/135/okazaki/</t>
  </si>
  <si>
    <t xml:space="preserve">吉川住建</t>
  </si>
  <si>
    <r>
      <rPr>
        <sz val="10"/>
        <rFont val="WenQuanYi Zen Hei"/>
        <family val="2"/>
      </rPr>
      <t xml:space="preserve">豊橋エリアで人気（イエタテ</t>
    </r>
    <r>
      <rPr>
        <sz val="10"/>
        <rFont val="Arial"/>
        <family val="0"/>
        <charset val="1"/>
      </rPr>
      <t xml:space="preserve">2025</t>
    </r>
    <r>
      <rPr>
        <sz val="10"/>
        <rFont val="WenQuanYi Zen Hei"/>
        <family val="2"/>
      </rPr>
      <t xml:space="preserve">下半期 愛知三河</t>
    </r>
    <r>
      <rPr>
        <sz val="10"/>
        <rFont val="Arial"/>
        <family val="0"/>
        <charset val="1"/>
      </rPr>
      <t xml:space="preserve">1</t>
    </r>
    <r>
      <rPr>
        <sz val="10"/>
        <rFont val="WenQuanYi Zen Hei"/>
        <family val="2"/>
      </rPr>
      <t xml:space="preserve">位）</t>
    </r>
  </si>
  <si>
    <t xml:space="preserve">東三河の有力工務店で、規格商品の有無を確認したうえで提案する（情報不足）。</t>
  </si>
  <si>
    <t xml:space="preserve">https://www.sumailab.net/P23/A6/rankings/134/toyohashi/</t>
  </si>
  <si>
    <t xml:space="preserve">片桐建設</t>
  </si>
  <si>
    <r>
      <rPr>
        <sz val="10"/>
        <rFont val="WenQuanYi Zen Hei"/>
        <family val="2"/>
      </rPr>
      <t xml:space="preserve">豊橋エリアで人気（イエタテ</t>
    </r>
    <r>
      <rPr>
        <sz val="10"/>
        <rFont val="Arial"/>
        <family val="0"/>
        <charset val="1"/>
      </rPr>
      <t xml:space="preserve">2025</t>
    </r>
    <r>
      <rPr>
        <sz val="10"/>
        <rFont val="WenQuanYi Zen Hei"/>
        <family val="2"/>
      </rPr>
      <t xml:space="preserve">下半期 愛知三河</t>
    </r>
    <r>
      <rPr>
        <sz val="10"/>
        <rFont val="Arial"/>
        <family val="0"/>
        <charset val="1"/>
      </rPr>
      <t xml:space="preserve">2</t>
    </r>
    <r>
      <rPr>
        <sz val="10"/>
        <rFont val="WenQuanYi Zen Hei"/>
        <family val="2"/>
      </rPr>
      <t xml:space="preserve">位）</t>
    </r>
  </si>
  <si>
    <t xml:space="preserve">東三河の工務店で、規格商品の有無は要確認（情報不足）。</t>
  </si>
  <si>
    <t xml:space="preserve">ユートピア建設</t>
  </si>
  <si>
    <r>
      <rPr>
        <sz val="10"/>
        <rFont val="WenQuanYi Zen Hei"/>
        <family val="2"/>
      </rPr>
      <t xml:space="preserve">豊橋エリアで人気（イエタテ</t>
    </r>
    <r>
      <rPr>
        <sz val="10"/>
        <rFont val="Arial"/>
        <family val="0"/>
        <charset val="1"/>
      </rPr>
      <t xml:space="preserve">2025</t>
    </r>
    <r>
      <rPr>
        <sz val="10"/>
        <rFont val="WenQuanYi Zen Hei"/>
        <family val="2"/>
      </rPr>
      <t xml:space="preserve">下半期 愛知三河</t>
    </r>
    <r>
      <rPr>
        <sz val="10"/>
        <rFont val="Arial"/>
        <family val="0"/>
        <charset val="1"/>
      </rPr>
      <t xml:space="preserve">3</t>
    </r>
    <r>
      <rPr>
        <sz val="10"/>
        <rFont val="WenQuanYi Zen Hei"/>
        <family val="2"/>
      </rPr>
      <t xml:space="preserve">位）</t>
    </r>
  </si>
  <si>
    <t xml:space="preserve">小幡建設</t>
  </si>
  <si>
    <r>
      <rPr>
        <sz val="10"/>
        <rFont val="WenQuanYi Zen Hei"/>
        <family val="2"/>
      </rPr>
      <t xml:space="preserve">豊田エリアで人気（イエタテ</t>
    </r>
    <r>
      <rPr>
        <sz val="10"/>
        <rFont val="Arial"/>
        <family val="0"/>
        <charset val="1"/>
      </rPr>
      <t xml:space="preserve">2026</t>
    </r>
    <r>
      <rPr>
        <sz val="10"/>
        <rFont val="WenQuanYi Zen Hei"/>
        <family val="2"/>
      </rPr>
      <t xml:space="preserve">上半期 愛知三河</t>
    </r>
    <r>
      <rPr>
        <sz val="10"/>
        <rFont val="Arial"/>
        <family val="0"/>
        <charset val="1"/>
      </rPr>
      <t xml:space="preserve">1</t>
    </r>
    <r>
      <rPr>
        <sz val="10"/>
        <rFont val="WenQuanYi Zen Hei"/>
        <family val="2"/>
      </rPr>
      <t xml:space="preserve">位）</t>
    </r>
  </si>
  <si>
    <t xml:space="preserve">豊田エリアの工務店で、規格商品の有無は要確認（情報不足）。</t>
  </si>
  <si>
    <t xml:space="preserve">https://www.sumailab.net/P23/A6/rankings/139/toyota/</t>
  </si>
  <si>
    <t xml:space="preserve">株式会社いわいハウジング</t>
  </si>
  <si>
    <t xml:space="preserve">一宮市の工務店</t>
  </si>
  <si>
    <t xml:space="preserve">地場の工務店で、商品・集客の状況は追加確認が必要（情報不足）。</t>
  </si>
  <si>
    <t xml:space="preserve">石川県</t>
  </si>
  <si>
    <t xml:space="preserve">七尾市</t>
  </si>
  <si>
    <t xml:space="preserve">シティハウス産業株式会社</t>
  </si>
  <si>
    <t xml:space="preserve">https://www.cityhouse.jp/</t>
  </si>
  <si>
    <t xml:space="preserve">七尾市・中能登町・志賀町・羽咋市の注文住宅。能登半島地震を受けて「命を守る家づくり」を打ち出す</t>
  </si>
  <si>
    <r>
      <rPr>
        <sz val="10"/>
        <rFont val="Arial"/>
        <family val="0"/>
        <charset val="1"/>
      </rPr>
      <t xml:space="preserve">1981</t>
    </r>
    <r>
      <rPr>
        <sz val="10"/>
        <rFont val="WenQuanYi Zen Hei"/>
        <family val="2"/>
      </rPr>
      <t xml:space="preserve">年</t>
    </r>
    <r>
      <rPr>
        <sz val="10"/>
        <rFont val="Arial"/>
        <family val="0"/>
        <charset val="1"/>
      </rPr>
      <t xml:space="preserve">6</t>
    </r>
    <r>
      <rPr>
        <sz val="10"/>
        <rFont val="WenQuanYi Zen Hei"/>
        <family val="2"/>
      </rPr>
      <t xml:space="preserve">月設立、正社員は推定</t>
    </r>
    <r>
      <rPr>
        <sz val="10"/>
        <rFont val="Arial"/>
        <family val="0"/>
        <charset val="1"/>
      </rPr>
      <t xml:space="preserve">7</t>
    </r>
    <r>
      <rPr>
        <sz val="10"/>
        <rFont val="WenQuanYi Zen Hei"/>
        <family val="2"/>
      </rPr>
      <t xml:space="preserve">名、資本金</t>
    </r>
    <r>
      <rPr>
        <sz val="10"/>
        <rFont val="Arial"/>
        <family val="0"/>
        <charset val="1"/>
      </rPr>
      <t xml:space="preserve">1,000</t>
    </r>
    <r>
      <rPr>
        <sz val="10"/>
        <rFont val="WenQuanYi Zen Hei"/>
        <family val="2"/>
      </rPr>
      <t xml:space="preserve">万円</t>
    </r>
  </si>
  <si>
    <r>
      <rPr>
        <sz val="10"/>
        <rFont val="WenQuanYi Zen Hei"/>
        <family val="2"/>
      </rPr>
      <t xml:space="preserve">能登の小規模地場工務店で、復興の再建需要に向けて、耐震等級</t>
    </r>
    <r>
      <rPr>
        <sz val="10"/>
        <rFont val="Arial"/>
        <family val="0"/>
        <charset val="1"/>
      </rPr>
      <t xml:space="preserve">3</t>
    </r>
    <r>
      <rPr>
        <sz val="10"/>
        <rFont val="WenQuanYi Zen Hei"/>
        <family val="2"/>
      </rPr>
      <t xml:space="preserve">で価格が明確な規格住宅を早く出せる</t>
    </r>
    <r>
      <rPr>
        <sz val="10"/>
        <rFont val="Arial"/>
        <family val="0"/>
        <charset val="1"/>
      </rPr>
      <t xml:space="preserve">LIFE X</t>
    </r>
    <r>
      <rPr>
        <sz val="10"/>
        <rFont val="WenQuanYi Zen Hei"/>
        <family val="2"/>
      </rPr>
      <t xml:space="preserve">が効く。</t>
    </r>
  </si>
  <si>
    <t xml:space="preserve">白山市</t>
  </si>
  <si>
    <t xml:space="preserve">西内工務店株式会社</t>
  </si>
  <si>
    <r>
      <rPr>
        <sz val="10"/>
        <rFont val="WenQuanYi Zen Hei"/>
        <family val="2"/>
      </rPr>
      <t xml:space="preserve">新築住宅・リフォーム・一般建築。独自の「</t>
    </r>
    <r>
      <rPr>
        <sz val="10"/>
        <rFont val="Arial"/>
        <family val="0"/>
        <charset val="1"/>
      </rPr>
      <t xml:space="preserve">WB HOUSE</t>
    </r>
    <r>
      <rPr>
        <sz val="10"/>
        <rFont val="WenQuanYi Zen Hei"/>
        <family val="2"/>
      </rPr>
      <t xml:space="preserve">」（</t>
    </r>
    <r>
      <rPr>
        <sz val="10"/>
        <rFont val="Arial"/>
        <family val="0"/>
        <charset val="1"/>
      </rPr>
      <t xml:space="preserve">WB</t>
    </r>
    <r>
      <rPr>
        <sz val="10"/>
        <rFont val="WenQuanYi Zen Hei"/>
        <family val="2"/>
      </rPr>
      <t xml:space="preserve">工法）を展開。一級建築士事務所</t>
    </r>
  </si>
  <si>
    <r>
      <rPr>
        <sz val="10"/>
        <rFont val="WenQuanYi Zen Hei"/>
        <family val="2"/>
      </rPr>
      <t xml:space="preserve">創業以来</t>
    </r>
    <r>
      <rPr>
        <sz val="10"/>
        <rFont val="Arial"/>
        <family val="0"/>
        <charset val="1"/>
      </rPr>
      <t xml:space="preserve">1,000</t>
    </r>
    <r>
      <rPr>
        <sz val="10"/>
        <rFont val="WenQuanYi Zen Hei"/>
        <family val="2"/>
      </rPr>
      <t xml:space="preserve">件超の設計施工実績（自社記載ベース）</t>
    </r>
  </si>
  <si>
    <r>
      <rPr>
        <sz val="10"/>
        <rFont val="Arial"/>
        <family val="0"/>
        <charset val="1"/>
      </rPr>
      <t xml:space="preserve">WB</t>
    </r>
    <r>
      <rPr>
        <sz val="10"/>
        <rFont val="WenQuanYi Zen Hei"/>
        <family val="2"/>
      </rPr>
      <t xml:space="preserve">工法採用（工法ネットワーク。住宅</t>
    </r>
    <r>
      <rPr>
        <sz val="10"/>
        <rFont val="Arial"/>
        <family val="0"/>
        <charset val="1"/>
      </rPr>
      <t xml:space="preserve">FC</t>
    </r>
    <r>
      <rPr>
        <sz val="10"/>
        <rFont val="WenQuanYi Zen Hei"/>
        <family val="2"/>
      </rPr>
      <t xml:space="preserve">加盟は未確認）</t>
    </r>
  </si>
  <si>
    <t xml:space="preserve">注文住宅中心で規格・ローコスト商品が見当たらず、金沢近郊の白山市で一次取得層向けの低価格高性能ラインを追加する余地がある。</t>
  </si>
  <si>
    <t xml:space="preserve">https://itp.ne.jp/zenkoku/ishikawa/hakusanshi/narimachi/171304837300000899</t>
  </si>
  <si>
    <t xml:space="preserve">小松市</t>
  </si>
  <si>
    <r>
      <rPr>
        <sz val="10"/>
        <rFont val="WenQuanYi Zen Hei"/>
        <family val="2"/>
      </rPr>
      <t xml:space="preserve">北出建築工房</t>
    </r>
    <r>
      <rPr>
        <sz val="10"/>
        <rFont val="Arial"/>
        <family val="0"/>
        <charset val="1"/>
      </rPr>
      <t xml:space="preserve">plus</t>
    </r>
  </si>
  <si>
    <t xml:space="preserve">https://www.kitadekenchiku.jp/</t>
  </si>
  <si>
    <r>
      <rPr>
        <sz val="10"/>
        <rFont val="WenQuanYi Zen Hei"/>
        <family val="2"/>
      </rPr>
      <t xml:space="preserve">小松市・加賀市・能美市で耐震等級</t>
    </r>
    <r>
      <rPr>
        <sz val="10"/>
        <rFont val="Arial"/>
        <family val="0"/>
        <charset val="1"/>
      </rPr>
      <t xml:space="preserve">3</t>
    </r>
    <r>
      <rPr>
        <sz val="10"/>
        <rFont val="WenQuanYi Zen Hei"/>
        <family val="2"/>
      </rPr>
      <t xml:space="preserve">・</t>
    </r>
    <r>
      <rPr>
        <sz val="10"/>
        <rFont val="Arial"/>
        <family val="0"/>
        <charset val="1"/>
      </rPr>
      <t xml:space="preserve">ZEH</t>
    </r>
    <r>
      <rPr>
        <sz val="10"/>
        <rFont val="WenQuanYi Zen Hei"/>
        <family val="2"/>
      </rPr>
      <t xml:space="preserve">のデザイン住宅。建築士の代表が設計提案</t>
    </r>
  </si>
  <si>
    <r>
      <rPr>
        <sz val="10"/>
        <rFont val="WenQuanYi Zen Hei"/>
        <family val="2"/>
      </rPr>
      <t xml:space="preserve">耐震</t>
    </r>
    <r>
      <rPr>
        <sz val="10"/>
        <rFont val="Arial"/>
        <family val="0"/>
        <charset val="1"/>
      </rPr>
      <t xml:space="preserve">3</t>
    </r>
    <r>
      <rPr>
        <sz val="10"/>
        <rFont val="WenQuanYi Zen Hei"/>
        <family val="2"/>
      </rPr>
      <t xml:space="preserve">・</t>
    </r>
    <r>
      <rPr>
        <sz val="10"/>
        <rFont val="Arial"/>
        <family val="0"/>
        <charset val="1"/>
      </rPr>
      <t xml:space="preserve">ZEH</t>
    </r>
    <r>
      <rPr>
        <sz val="10"/>
        <rFont val="WenQuanYi Zen Hei"/>
        <family val="2"/>
      </rPr>
      <t xml:space="preserve">の設計姿勢が</t>
    </r>
    <r>
      <rPr>
        <sz val="10"/>
        <rFont val="Arial"/>
        <family val="0"/>
        <charset val="1"/>
      </rPr>
      <t xml:space="preserve">LIFE X</t>
    </r>
    <r>
      <rPr>
        <sz val="10"/>
        <rFont val="WenQuanYi Zen Hei"/>
        <family val="2"/>
      </rPr>
      <t xml:space="preserve">の仕様と近く、設計者依存を減らす規格商品として提案しやすい。</t>
    </r>
  </si>
  <si>
    <t xml:space="preserve">大黒建設</t>
  </si>
  <si>
    <t xml:space="preserve">https://daikokukensetsu.co.jp/</t>
  </si>
  <si>
    <r>
      <rPr>
        <sz val="10"/>
        <rFont val="Arial"/>
        <family val="0"/>
        <charset val="1"/>
      </rPr>
      <t xml:space="preserve">1957</t>
    </r>
    <r>
      <rPr>
        <sz val="10"/>
        <rFont val="WenQuanYi Zen Hei"/>
        <family val="2"/>
      </rPr>
      <t xml:space="preserve">年創業・</t>
    </r>
    <r>
      <rPr>
        <sz val="10"/>
        <rFont val="Arial"/>
        <family val="0"/>
        <charset val="1"/>
      </rPr>
      <t xml:space="preserve">3</t>
    </r>
    <r>
      <rPr>
        <sz val="10"/>
        <rFont val="WenQuanYi Zen Hei"/>
        <family val="2"/>
      </rPr>
      <t xml:space="preserve">代続く小松の工務店。子育て・高齢者向けの注文住宅</t>
    </r>
  </si>
  <si>
    <t xml:space="preserve">老舗の地場工務店で、若年の一次取得層に向けた明快な価格の規格住宅を補える。</t>
  </si>
  <si>
    <t xml:space="preserve">イング建築設計</t>
  </si>
  <si>
    <t xml:space="preserve">https://ing-archi.com/</t>
  </si>
  <si>
    <t xml:space="preserve">自然素材を使った高性能・デザイン志向の注文住宅</t>
  </si>
  <si>
    <r>
      <rPr>
        <sz val="10"/>
        <rFont val="WenQuanYi Zen Hei"/>
        <family val="2"/>
      </rPr>
      <t xml:space="preserve">デザインと性能を重視する設計系で、</t>
    </r>
    <r>
      <rPr>
        <sz val="10"/>
        <rFont val="Arial"/>
        <family val="0"/>
        <charset val="1"/>
      </rPr>
      <t xml:space="preserve">LIFE X</t>
    </r>
    <r>
      <rPr>
        <sz val="10"/>
        <rFont val="WenQuanYi Zen Hei"/>
        <family val="2"/>
      </rPr>
      <t xml:space="preserve">のデザイン規格住宅と方向性が合う。</t>
    </r>
  </si>
  <si>
    <t xml:space="preserve">金沢市</t>
  </si>
  <si>
    <t xml:space="preserve">株式会社ひまわりほーむ</t>
  </si>
  <si>
    <r>
      <rPr>
        <sz val="10"/>
        <rFont val="WenQuanYi Zen Hei"/>
        <family val="2"/>
      </rPr>
      <t xml:space="preserve">地域密着型ハウスメーカー。全棟長期優良住宅・全棟</t>
    </r>
    <r>
      <rPr>
        <sz val="10"/>
        <rFont val="Arial"/>
        <family val="0"/>
        <charset val="1"/>
      </rPr>
      <t xml:space="preserve">W</t>
    </r>
    <r>
      <rPr>
        <sz val="10"/>
        <rFont val="WenQuanYi Zen Hei"/>
        <family val="2"/>
      </rPr>
      <t xml:space="preserve">断熱の高性能注文住宅。能登半島の復興支援も行う</t>
    </r>
  </si>
  <si>
    <r>
      <rPr>
        <sz val="10"/>
        <rFont val="Arial"/>
        <family val="0"/>
        <charset val="1"/>
      </rPr>
      <t xml:space="preserve">1996</t>
    </r>
    <r>
      <rPr>
        <sz val="10"/>
        <rFont val="WenQuanYi Zen Hei"/>
        <family val="2"/>
      </rPr>
      <t xml:space="preserve">年設立、資本金</t>
    </r>
    <r>
      <rPr>
        <sz val="10"/>
        <rFont val="Arial"/>
        <family val="0"/>
        <charset val="1"/>
      </rPr>
      <t xml:space="preserve">1</t>
    </r>
    <r>
      <rPr>
        <sz val="10"/>
        <rFont val="WenQuanYi Zen Hei"/>
        <family val="2"/>
      </rPr>
      <t xml:space="preserve">億円、従業員</t>
    </r>
    <r>
      <rPr>
        <sz val="10"/>
        <rFont val="Arial"/>
        <family val="0"/>
        <charset val="1"/>
      </rPr>
      <t xml:space="preserve">65</t>
    </r>
    <r>
      <rPr>
        <sz val="10"/>
        <rFont val="WenQuanYi Zen Hei"/>
        <family val="2"/>
      </rPr>
      <t xml:space="preserve">名（</t>
    </r>
    <r>
      <rPr>
        <sz val="10"/>
        <rFont val="Arial"/>
        <family val="0"/>
        <charset val="1"/>
      </rPr>
      <t xml:space="preserve">2025</t>
    </r>
    <r>
      <rPr>
        <sz val="10"/>
        <rFont val="WenQuanYi Zen Hei"/>
        <family val="2"/>
      </rPr>
      <t xml:space="preserve">年</t>
    </r>
    <r>
      <rPr>
        <sz val="10"/>
        <rFont val="Arial"/>
        <family val="0"/>
        <charset val="1"/>
      </rPr>
      <t xml:space="preserve">5</t>
    </r>
    <r>
      <rPr>
        <sz val="10"/>
        <rFont val="WenQuanYi Zen Hei"/>
        <family val="2"/>
      </rPr>
      <t xml:space="preserve">月現在）。拠点は石川・富山・東京</t>
    </r>
  </si>
  <si>
    <t xml:space="preserve">高性能注文住宅が主力で、能登の復興需要や若年層に向けた価格訴求の規格ラインを補える。</t>
  </si>
  <si>
    <t xml:space="preserve">https://www.bizreach.jp/job/view/3633864/</t>
  </si>
  <si>
    <t xml:space="preserve">株式会社嶋源木建</t>
  </si>
  <si>
    <t xml:space="preserve">https://www.uruoino-ie.jp/</t>
  </si>
  <si>
    <t xml:space="preserve">自然素材の注文住宅「うるおいの家」、新築・リフォーム（金沢市・白山市）</t>
  </si>
  <si>
    <t xml:space="preserve">自然素材の注文住宅に特化しており、規格・ローコストの入口商品がない。</t>
  </si>
  <si>
    <t xml:space="preserve">たくみ工務店</t>
  </si>
  <si>
    <t xml:space="preserve">https://takumi-build.co.jp/</t>
  </si>
  <si>
    <t xml:space="preserve">専属大工による注文住宅・新築戸建て</t>
  </si>
  <si>
    <t xml:space="preserve">大工を抱える施工力型の工務店で、規格商品を加えれば集客と施工の稼働を平準化できる。</t>
  </si>
  <si>
    <t xml:space="preserve">端工務店</t>
  </si>
  <si>
    <t xml:space="preserve">https://hashi-koumuten.com/</t>
  </si>
  <si>
    <r>
      <rPr>
        <sz val="10"/>
        <rFont val="WenQuanYi Zen Hei"/>
        <family val="2"/>
      </rPr>
      <t xml:space="preserve">自然素材を使った高気密・高断熱の注文住宅（</t>
    </r>
    <r>
      <rPr>
        <sz val="10"/>
        <rFont val="Arial"/>
        <family val="0"/>
        <charset val="1"/>
      </rPr>
      <t xml:space="preserve">1981</t>
    </r>
    <r>
      <rPr>
        <sz val="10"/>
        <rFont val="WenQuanYi Zen Hei"/>
        <family val="2"/>
      </rPr>
      <t xml:space="preserve">年創業）</t>
    </r>
  </si>
  <si>
    <r>
      <rPr>
        <sz val="10"/>
        <rFont val="WenQuanYi Zen Hei"/>
        <family val="2"/>
      </rPr>
      <t xml:space="preserve">高性能住宅のノウハウがあり、断熱等級</t>
    </r>
    <r>
      <rPr>
        <sz val="10"/>
        <rFont val="Arial"/>
        <family val="0"/>
        <charset val="1"/>
      </rPr>
      <t xml:space="preserve">6</t>
    </r>
    <r>
      <rPr>
        <sz val="10"/>
        <rFont val="WenQuanYi Zen Hei"/>
        <family val="2"/>
      </rPr>
      <t xml:space="preserve">・太陽光標準の</t>
    </r>
    <r>
      <rPr>
        <sz val="10"/>
        <rFont val="Arial"/>
        <family val="0"/>
        <charset val="1"/>
      </rPr>
      <t xml:space="preserve">LIFE X</t>
    </r>
    <r>
      <rPr>
        <sz val="10"/>
        <rFont val="WenQuanYi Zen Hei"/>
        <family val="2"/>
      </rPr>
      <t xml:space="preserve">仕様を受け入れやすい。</t>
    </r>
  </si>
  <si>
    <t xml:space="preserve">株式会社クロダハウス</t>
  </si>
  <si>
    <r>
      <rPr>
        <sz val="10"/>
        <rFont val="WenQuanYi Zen Hei"/>
        <family val="2"/>
      </rPr>
      <t xml:space="preserve">北陸で建築一式・不動産・非住宅・注文住宅。スウェーデンハウスの販売施工、規格型セレクト住宅</t>
    </r>
    <r>
      <rPr>
        <sz val="10"/>
        <rFont val="Arial"/>
        <family val="0"/>
        <charset val="1"/>
      </rPr>
      <t xml:space="preserve">ainoe</t>
    </r>
  </si>
  <si>
    <r>
      <rPr>
        <sz val="10"/>
        <rFont val="WenQuanYi Zen Hei"/>
        <family val="2"/>
      </rPr>
      <t xml:space="preserve">競合</t>
    </r>
    <r>
      <rPr>
        <sz val="10"/>
        <rFont val="Arial"/>
        <family val="0"/>
        <charset val="1"/>
      </rPr>
      <t xml:space="preserve">FC</t>
    </r>
    <r>
      <rPr>
        <sz val="10"/>
        <rFont val="WenQuanYi Zen Hei"/>
        <family val="2"/>
      </rPr>
      <t xml:space="preserve">加盟：</t>
    </r>
    <r>
      <rPr>
        <sz val="10"/>
        <rFont val="Arial"/>
        <family val="0"/>
        <charset val="1"/>
      </rPr>
      <t xml:space="preserve">R+house</t>
    </r>
    <r>
      <rPr>
        <sz val="10"/>
        <rFont val="WenQuanYi Zen Hei"/>
        <family val="2"/>
      </rPr>
      <t xml:space="preserve">取扱。スウェーデンハウス販売施工、</t>
    </r>
    <r>
      <rPr>
        <sz val="10"/>
        <rFont val="Arial"/>
        <family val="0"/>
        <charset val="1"/>
      </rPr>
      <t xml:space="preserve">ainoe</t>
    </r>
    <r>
      <rPr>
        <sz val="10"/>
        <rFont val="WenQuanYi Zen Hei"/>
        <family val="2"/>
      </rPr>
      <t xml:space="preserve">（規格型）取扱</t>
    </r>
  </si>
  <si>
    <r>
      <rPr>
        <sz val="10"/>
        <rFont val="WenQuanYi Zen Hei"/>
        <family val="2"/>
      </rPr>
      <t xml:space="preserve">多ブランドを扱う会社で、</t>
    </r>
    <r>
      <rPr>
        <sz val="10"/>
        <rFont val="Arial"/>
        <family val="0"/>
        <charset val="1"/>
      </rPr>
      <t xml:space="preserve">ainoe</t>
    </r>
    <r>
      <rPr>
        <sz val="10"/>
        <rFont val="WenQuanYi Zen Hei"/>
        <family val="2"/>
      </rPr>
      <t xml:space="preserve">と競合するため優先度は低い。</t>
    </r>
  </si>
  <si>
    <t xml:space="preserve">https://mynavi-agent.jp/corpdetail/30024/</t>
  </si>
  <si>
    <t xml:space="preserve">石友ホーム（石友ホームグループ）</t>
  </si>
  <si>
    <t xml:space="preserve">高気密・高断熱の自社開発工法による注文住宅</t>
  </si>
  <si>
    <r>
      <rPr>
        <sz val="10"/>
        <rFont val="WenQuanYi Zen Hei"/>
        <family val="2"/>
      </rPr>
      <t xml:space="preserve">グループ従業員</t>
    </r>
    <r>
      <rPr>
        <sz val="10"/>
        <rFont val="Arial"/>
        <family val="0"/>
        <charset val="1"/>
      </rPr>
      <t xml:space="preserve">964</t>
    </r>
    <r>
      <rPr>
        <sz val="10"/>
        <rFont val="WenQuanYi Zen Hei"/>
        <family val="2"/>
      </rPr>
      <t xml:space="preserve">名（</t>
    </r>
    <r>
      <rPr>
        <sz val="10"/>
        <rFont val="Arial"/>
        <family val="0"/>
        <charset val="1"/>
      </rPr>
      <t xml:space="preserve">2026</t>
    </r>
    <r>
      <rPr>
        <sz val="10"/>
        <rFont val="WenQuanYi Zen Hei"/>
        <family val="2"/>
      </rPr>
      <t xml:space="preserve">年</t>
    </r>
    <r>
      <rPr>
        <sz val="10"/>
        <rFont val="Arial"/>
        <family val="0"/>
        <charset val="1"/>
      </rPr>
      <t xml:space="preserve">1</t>
    </r>
    <r>
      <rPr>
        <sz val="10"/>
        <rFont val="WenQuanYi Zen Hei"/>
        <family val="2"/>
      </rPr>
      <t xml:space="preserve">月</t>
    </r>
    <r>
      <rPr>
        <sz val="10"/>
        <rFont val="Arial"/>
        <family val="0"/>
        <charset val="1"/>
      </rPr>
      <t xml:space="preserve">1</t>
    </r>
    <r>
      <rPr>
        <sz val="10"/>
        <rFont val="WenQuanYi Zen Hei"/>
        <family val="2"/>
      </rPr>
      <t xml:space="preserve">日時点）、北陸エリア着工棟数</t>
    </r>
    <r>
      <rPr>
        <sz val="10"/>
        <rFont val="Arial"/>
        <family val="0"/>
        <charset val="1"/>
      </rPr>
      <t xml:space="preserve">17</t>
    </r>
    <r>
      <rPr>
        <sz val="10"/>
        <rFont val="WenQuanYi Zen Hei"/>
        <family val="2"/>
      </rPr>
      <t xml:space="preserve">年連続</t>
    </r>
    <r>
      <rPr>
        <sz val="10"/>
        <rFont val="Arial"/>
        <family val="0"/>
        <charset val="1"/>
      </rPr>
      <t xml:space="preserve">No.1</t>
    </r>
  </si>
  <si>
    <t xml:space="preserve">規模が過大で対象外に近く、競合把握のために記載。</t>
  </si>
  <si>
    <t xml:space="preserve">https://hrmos.co/pages/ishitomo-recruit/jobs/2244697317863440384</t>
  </si>
  <si>
    <t xml:space="preserve">株式会社建築昌英</t>
  </si>
  <si>
    <t xml:space="preserve">木造注文住宅。年間施工棟数をあえて絞る方針</t>
  </si>
  <si>
    <t xml:space="preserve">少数精鋭型のため適合度は低めだが、規格ラインで受注の幅を広げる余地はある。</t>
  </si>
  <si>
    <t xml:space="preserve">https://auka.jp/media/housemaker/housemaker-ishikawa/housemaker-isikawa-kanazawa</t>
  </si>
  <si>
    <t xml:space="preserve">株式会社國見工務店</t>
  </si>
  <si>
    <t xml:space="preserve">https://www.kunimikoumuten.com/</t>
  </si>
  <si>
    <t xml:space="preserve">無垢材・自然素材の注文住宅、リノベーション</t>
  </si>
  <si>
    <t xml:space="preserve">自然素材の注文住宅特化型で、低価格帯の商品を補完できる可能性がある。</t>
  </si>
  <si>
    <r>
      <rPr>
        <sz val="10"/>
        <rFont val="WenQuanYi Zen Hei"/>
        <family val="2"/>
      </rPr>
      <t xml:space="preserve">ジョイント</t>
    </r>
    <r>
      <rPr>
        <sz val="10"/>
        <rFont val="Arial"/>
        <family val="0"/>
        <charset val="1"/>
      </rPr>
      <t xml:space="preserve">21</t>
    </r>
  </si>
  <si>
    <r>
      <rPr>
        <sz val="10"/>
        <rFont val="WenQuanYi Zen Hei"/>
        <family val="2"/>
      </rPr>
      <t xml:space="preserve">金沢・小松に店舗。土地探しから家づくりまで一貫対応（宅建業 石川県知事</t>
    </r>
    <r>
      <rPr>
        <sz val="10"/>
        <rFont val="Arial"/>
        <family val="0"/>
        <charset val="1"/>
      </rPr>
      <t xml:space="preserve">(6)</t>
    </r>
    <r>
      <rPr>
        <sz val="10"/>
        <rFont val="WenQuanYi Zen Hei"/>
        <family val="2"/>
      </rPr>
      <t xml:space="preserve">第</t>
    </r>
    <r>
      <rPr>
        <sz val="10"/>
        <rFont val="Arial"/>
        <family val="0"/>
        <charset val="1"/>
      </rPr>
      <t xml:space="preserve">3535</t>
    </r>
    <r>
      <rPr>
        <sz val="10"/>
        <rFont val="WenQuanYi Zen Hei"/>
        <family val="2"/>
      </rPr>
      <t xml:space="preserve">号）</t>
    </r>
  </si>
  <si>
    <t xml:space="preserve">不動産と住宅を兼業しており、土地とセットで売る規格住宅として販売しやすい。</t>
  </si>
  <si>
    <t xml:space="preserve">https://toushi.homes.co.jp/bukkeninform/4615965/</t>
  </si>
  <si>
    <t xml:space="preserve">ニューハウス工業株式会社</t>
  </si>
  <si>
    <r>
      <rPr>
        <sz val="10"/>
        <rFont val="Arial"/>
        <family val="0"/>
        <charset val="1"/>
      </rPr>
      <t xml:space="preserve">1966</t>
    </r>
    <r>
      <rPr>
        <sz val="10"/>
        <rFont val="WenQuanYi Zen Hei"/>
        <family val="2"/>
      </rPr>
      <t xml:space="preserve">年創業の北陸地場ビルダー</t>
    </r>
  </si>
  <si>
    <r>
      <rPr>
        <sz val="10"/>
        <rFont val="WenQuanYi Zen Hei"/>
        <family val="2"/>
      </rPr>
      <t xml:space="preserve">北陸で</t>
    </r>
    <r>
      <rPr>
        <sz val="10"/>
        <rFont val="Arial"/>
        <family val="0"/>
        <charset val="1"/>
      </rPr>
      <t xml:space="preserve">14,000</t>
    </r>
    <r>
      <rPr>
        <sz val="10"/>
        <rFont val="WenQuanYi Zen Hei"/>
        <family val="2"/>
      </rPr>
      <t xml:space="preserve">棟以上の施工実績（紹介記事記載）</t>
    </r>
  </si>
  <si>
    <t xml:space="preserve">規模が大きく狙いの棟数帯を超えるとみられるため、参考として記載。</t>
  </si>
  <si>
    <t xml:space="preserve">https://job.mynavi.jp/27/pc/search/corp98557/outline.html</t>
  </si>
  <si>
    <t xml:space="preserve">鹿島郡中能登町</t>
  </si>
  <si>
    <t xml:space="preserve">若狭建設株式会社</t>
  </si>
  <si>
    <t xml:space="preserve">能登地域の工務店（詳細未確認）</t>
  </si>
  <si>
    <t xml:space="preserve">能登の地場工務店で、復興の再建需要の受け皿になりうるが情報が不足している。</t>
  </si>
  <si>
    <t xml:space="preserve">https://www.houzz.jp/professionals/general-contractor/c/%E7%9F%B3%E5%B7%9D%E7%9C%8C-%E9%B9%BF%E5%B3%B6%E9%83%A1%E4%B8%AD%E8%83%BD%E7%99%BB%E7%94%BA</t>
  </si>
  <si>
    <t xml:space="preserve">香川県</t>
  </si>
  <si>
    <t xml:space="preserve">三豊市</t>
  </si>
  <si>
    <t xml:space="preserve">株式会社大河内工務店</t>
  </si>
  <si>
    <r>
      <rPr>
        <sz val="10"/>
        <rFont val="WenQuanYi Zen Hei"/>
        <family val="2"/>
      </rPr>
      <t xml:space="preserve">香川県西部中心の木造注文住宅（和風・洋風）と商業建築。大工館・カフェ「木きん堂」を運営、</t>
    </r>
    <r>
      <rPr>
        <sz val="10"/>
        <rFont val="Arial"/>
        <family val="0"/>
        <charset val="1"/>
      </rPr>
      <t xml:space="preserve">2019</t>
    </r>
    <r>
      <rPr>
        <sz val="10"/>
        <rFont val="WenQuanYi Zen Hei"/>
        <family val="2"/>
      </rPr>
      <t xml:space="preserve">年に高松店</t>
    </r>
  </si>
  <si>
    <r>
      <rPr>
        <sz val="10"/>
        <rFont val="Arial"/>
        <family val="0"/>
        <charset val="1"/>
      </rPr>
      <t xml:space="preserve">1953</t>
    </r>
    <r>
      <rPr>
        <sz val="10"/>
        <rFont val="WenQuanYi Zen Hei"/>
        <family val="2"/>
      </rPr>
      <t xml:space="preserve">年創業・</t>
    </r>
    <r>
      <rPr>
        <sz val="10"/>
        <rFont val="Arial"/>
        <family val="0"/>
        <charset val="1"/>
      </rPr>
      <t xml:space="preserve">1996</t>
    </r>
    <r>
      <rPr>
        <sz val="10"/>
        <rFont val="WenQuanYi Zen Hei"/>
        <family val="2"/>
      </rPr>
      <t xml:space="preserve">年法人化。手掛けた家は</t>
    </r>
    <r>
      <rPr>
        <sz val="10"/>
        <rFont val="Arial"/>
        <family val="0"/>
        <charset val="1"/>
      </rPr>
      <t xml:space="preserve">1,500</t>
    </r>
    <r>
      <rPr>
        <sz val="10"/>
        <rFont val="WenQuanYi Zen Hei"/>
        <family val="2"/>
      </rPr>
      <t xml:space="preserve">棟以上（紹介記事）。トータルハウジング大賞受賞歴</t>
    </r>
  </si>
  <si>
    <t xml:space="preserve">中規模の注文住宅中心で、高松進出で集客を強化している段階にあり、規格・ローコストの入口商品を足す余地が大きい。</t>
  </si>
  <si>
    <t xml:space="preserve">https://www.value-press.com/s/pressrelease/130699</t>
  </si>
  <si>
    <t xml:space="preserve">丸亀市</t>
  </si>
  <si>
    <t xml:space="preserve">株式会社香川建築</t>
  </si>
  <si>
    <t xml:space="preserve">https://www.kagawakentiku.com/</t>
  </si>
  <si>
    <t xml:space="preserve">新築注文住宅、古民家（木造和風）、一般住宅・店舗リフォーム、不動産</t>
  </si>
  <si>
    <r>
      <rPr>
        <sz val="10"/>
        <rFont val="WenQuanYi Zen Hei"/>
        <family val="2"/>
      </rPr>
      <t xml:space="preserve">創業</t>
    </r>
    <r>
      <rPr>
        <sz val="10"/>
        <rFont val="Arial"/>
        <family val="0"/>
        <charset val="1"/>
      </rPr>
      <t xml:space="preserve">1988</t>
    </r>
    <r>
      <rPr>
        <sz val="10"/>
        <rFont val="WenQuanYi Zen Hei"/>
        <family val="2"/>
      </rPr>
      <t xml:space="preserve">年（昭和</t>
    </r>
    <r>
      <rPr>
        <sz val="10"/>
        <rFont val="Arial"/>
        <family val="0"/>
        <charset val="1"/>
      </rPr>
      <t xml:space="preserve">63</t>
    </r>
    <r>
      <rPr>
        <sz val="10"/>
        <rFont val="WenQuanYi Zen Hei"/>
        <family val="2"/>
      </rPr>
      <t xml:space="preserve">年）</t>
    </r>
  </si>
  <si>
    <t xml:space="preserve">注文住宅・古民家・リフォームの兼業型で規格商品がなく、丸亀エリアの若年層向けの新築入口商品として刺さる。</t>
  </si>
  <si>
    <t xml:space="preserve">坂出市</t>
  </si>
  <si>
    <t xml:space="preserve">大塚建設株式会社</t>
  </si>
  <si>
    <t xml:space="preserve">https://www.otsuka-cc.jp/</t>
  </si>
  <si>
    <r>
      <rPr>
        <sz val="10"/>
        <rFont val="WenQuanYi Zen Hei"/>
        <family val="2"/>
      </rPr>
      <t xml:space="preserve">自由設計の高性能住宅を手の届く価格で提供（耐震等級</t>
    </r>
    <r>
      <rPr>
        <sz val="10"/>
        <rFont val="Arial"/>
        <family val="0"/>
        <charset val="1"/>
      </rPr>
      <t xml:space="preserve">3</t>
    </r>
    <r>
      <rPr>
        <sz val="10"/>
        <rFont val="WenQuanYi Zen Hei"/>
        <family val="2"/>
      </rPr>
      <t xml:space="preserve">・</t>
    </r>
    <r>
      <rPr>
        <sz val="10"/>
        <rFont val="Arial"/>
        <family val="0"/>
        <charset val="1"/>
      </rPr>
      <t xml:space="preserve">HEAT20 G2</t>
    </r>
    <r>
      <rPr>
        <sz val="10"/>
        <rFont val="WenQuanYi Zen Hei"/>
        <family val="2"/>
      </rPr>
      <t xml:space="preserve">）</t>
    </r>
  </si>
  <si>
    <r>
      <rPr>
        <sz val="10"/>
        <rFont val="WenQuanYi Zen Hei"/>
        <family val="2"/>
      </rPr>
      <t xml:space="preserve">正社員は推定</t>
    </r>
    <r>
      <rPr>
        <sz val="10"/>
        <rFont val="Arial"/>
        <family val="0"/>
        <charset val="1"/>
      </rPr>
      <t xml:space="preserve">7</t>
    </r>
    <r>
      <rPr>
        <sz val="10"/>
        <rFont val="WenQuanYi Zen Hei"/>
        <family val="2"/>
      </rPr>
      <t xml:space="preserve">名</t>
    </r>
  </si>
  <si>
    <r>
      <rPr>
        <sz val="10"/>
        <rFont val="WenQuanYi Zen Hei"/>
        <family val="2"/>
      </rPr>
      <t xml:space="preserve">小規模ながら耐震</t>
    </r>
    <r>
      <rPr>
        <sz val="10"/>
        <rFont val="Arial"/>
        <family val="0"/>
        <charset val="1"/>
      </rPr>
      <t xml:space="preserve">3</t>
    </r>
    <r>
      <rPr>
        <sz val="10"/>
        <rFont val="WenQuanYi Zen Hei"/>
        <family val="2"/>
      </rPr>
      <t xml:space="preserve">・高断熱の施工力があり、</t>
    </r>
    <r>
      <rPr>
        <sz val="10"/>
        <rFont val="Arial"/>
        <family val="0"/>
        <charset val="1"/>
      </rPr>
      <t xml:space="preserve">LIFE X</t>
    </r>
    <r>
      <rPr>
        <sz val="10"/>
        <rFont val="WenQuanYi Zen Hei"/>
        <family val="2"/>
      </rPr>
      <t xml:space="preserve">仕様をすぐ導入でき、ブランド力の補強で集客を伸ばせる。</t>
    </r>
  </si>
  <si>
    <t xml:space="preserve">株式会社菅組</t>
  </si>
  <si>
    <r>
      <rPr>
        <sz val="10"/>
        <rFont val="Arial"/>
        <family val="0"/>
        <charset val="1"/>
      </rPr>
      <t xml:space="preserve">1909</t>
    </r>
    <r>
      <rPr>
        <sz val="10"/>
        <rFont val="WenQuanYi Zen Hei"/>
        <family val="2"/>
      </rPr>
      <t xml:space="preserve">年創業の地域建設会社。公共・商業・医療福祉・社寺の建築と住宅・リフォーム。環境方針あり</t>
    </r>
  </si>
  <si>
    <r>
      <rPr>
        <sz val="10"/>
        <rFont val="WenQuanYi Zen Hei"/>
        <family val="2"/>
      </rPr>
      <t xml:space="preserve">社員大工約</t>
    </r>
    <r>
      <rPr>
        <sz val="10"/>
        <rFont val="Arial"/>
        <family val="0"/>
        <charset val="1"/>
      </rPr>
      <t xml:space="preserve">20</t>
    </r>
    <r>
      <rPr>
        <sz val="10"/>
        <rFont val="WenQuanYi Zen Hei"/>
        <family val="2"/>
      </rPr>
      <t xml:space="preserve">名</t>
    </r>
  </si>
  <si>
    <t xml:space="preserve">総合建設が主体で、住宅部門に規格商品を加えれば稼働を安定させやすい。</t>
  </si>
  <si>
    <t xml:space="preserve">https://job.mynavi.jp/28/pc/search/corp99482/is.html</t>
  </si>
  <si>
    <t xml:space="preserve">さぬき市</t>
  </si>
  <si>
    <t xml:space="preserve">大川建設株式会社</t>
  </si>
  <si>
    <r>
      <rPr>
        <sz val="10"/>
        <rFont val="WenQuanYi Zen Hei"/>
        <family val="2"/>
      </rPr>
      <t xml:space="preserve">注文住宅・リフォーム・非住宅。全棟で耐震等級</t>
    </r>
    <r>
      <rPr>
        <sz val="10"/>
        <rFont val="Arial"/>
        <family val="0"/>
        <charset val="1"/>
      </rPr>
      <t xml:space="preserve">3</t>
    </r>
    <r>
      <rPr>
        <sz val="10"/>
        <rFont val="WenQuanYi Zen Hei"/>
        <family val="2"/>
      </rPr>
      <t xml:space="preserve">相当の構造計算、長期優良住宅が標準。</t>
    </r>
    <r>
      <rPr>
        <sz val="10"/>
        <rFont val="Arial"/>
        <family val="0"/>
        <charset val="1"/>
      </rPr>
      <t xml:space="preserve">ZEH</t>
    </r>
    <r>
      <rPr>
        <sz val="10"/>
        <rFont val="WenQuanYi Zen Hei"/>
        <family val="2"/>
      </rPr>
      <t xml:space="preserve">ビルダー</t>
    </r>
  </si>
  <si>
    <r>
      <rPr>
        <sz val="10"/>
        <rFont val="WenQuanYi Zen Hei"/>
        <family val="2"/>
      </rPr>
      <t xml:space="preserve">創業</t>
    </r>
    <r>
      <rPr>
        <sz val="10"/>
        <rFont val="Arial"/>
        <family val="0"/>
        <charset val="1"/>
      </rPr>
      <t xml:space="preserve">59</t>
    </r>
    <r>
      <rPr>
        <sz val="10"/>
        <rFont val="WenQuanYi Zen Hei"/>
        <family val="2"/>
      </rPr>
      <t xml:space="preserve">年</t>
    </r>
  </si>
  <si>
    <r>
      <rPr>
        <sz val="10"/>
        <rFont val="WenQuanYi Zen Hei"/>
        <family val="2"/>
      </rPr>
      <t xml:space="preserve">パナソニック「テクノストラクチャー」施工認定店（工法ネットワーク）、</t>
    </r>
    <r>
      <rPr>
        <sz val="10"/>
        <rFont val="Arial"/>
        <family val="0"/>
        <charset val="1"/>
      </rPr>
      <t xml:space="preserve">LIXIL</t>
    </r>
    <r>
      <rPr>
        <sz val="10"/>
        <rFont val="WenQuanYi Zen Hei"/>
        <family val="2"/>
      </rPr>
      <t xml:space="preserve">リフォームネット登録店</t>
    </r>
  </si>
  <si>
    <r>
      <rPr>
        <sz val="10"/>
        <rFont val="WenQuanYi Zen Hei"/>
        <family val="2"/>
      </rPr>
      <t xml:space="preserve">高性能志向の注文住宅会社で、</t>
    </r>
    <r>
      <rPr>
        <sz val="10"/>
        <rFont val="Arial"/>
        <family val="0"/>
        <charset val="1"/>
      </rPr>
      <t xml:space="preserve">LIFE X</t>
    </r>
    <r>
      <rPr>
        <sz val="10"/>
        <rFont val="WenQuanYi Zen Hei"/>
        <family val="2"/>
      </rPr>
      <t xml:space="preserve">を低価格帯の補完商品として組み込みやすい。</t>
    </r>
  </si>
  <si>
    <t xml:space="preserve">https://compalyze.co.jp/company/6470001011035</t>
  </si>
  <si>
    <t xml:space="preserve">株式会社レオックス</t>
  </si>
  <si>
    <t xml:space="preserve">https://www.reox.jp/</t>
  </si>
  <si>
    <r>
      <rPr>
        <sz val="10"/>
        <rFont val="WenQuanYi Zen Hei"/>
        <family val="2"/>
      </rPr>
      <t xml:space="preserve">テクノストラクチャーによる耐震等級</t>
    </r>
    <r>
      <rPr>
        <sz val="10"/>
        <rFont val="Arial"/>
        <family val="0"/>
        <charset val="1"/>
      </rPr>
      <t xml:space="preserve">3</t>
    </r>
    <r>
      <rPr>
        <sz val="10"/>
        <rFont val="WenQuanYi Zen Hei"/>
        <family val="2"/>
      </rPr>
      <t xml:space="preserve">・</t>
    </r>
    <r>
      <rPr>
        <sz val="10"/>
        <rFont val="Arial"/>
        <family val="0"/>
        <charset val="1"/>
      </rPr>
      <t xml:space="preserve">ZEH</t>
    </r>
    <r>
      <rPr>
        <sz val="10"/>
        <rFont val="WenQuanYi Zen Hei"/>
        <family val="2"/>
      </rPr>
      <t xml:space="preserve">の注文住宅（坂出中心）</t>
    </r>
  </si>
  <si>
    <t xml:space="preserve">パナソニック「テクノストラクチャー」採用（工法ネットワーク）</t>
  </si>
  <si>
    <r>
      <rPr>
        <sz val="10"/>
        <rFont val="WenQuanYi Zen Hei"/>
        <family val="2"/>
      </rPr>
      <t xml:space="preserve">耐震</t>
    </r>
    <r>
      <rPr>
        <sz val="10"/>
        <rFont val="Arial"/>
        <family val="0"/>
        <charset val="1"/>
      </rPr>
      <t xml:space="preserve">3</t>
    </r>
    <r>
      <rPr>
        <sz val="10"/>
        <rFont val="WenQuanYi Zen Hei"/>
        <family val="2"/>
      </rPr>
      <t xml:space="preserve">を実現する体制が整っており、低価格の規格ラインを補完できる。</t>
    </r>
  </si>
  <si>
    <t xml:space="preserve">https://panasonic.co.jp/phs/pasd/pb-techno/pb_search/detail.php?area=chugoku_shikoku&amp;pref=kagawa&amp;pb=P0413</t>
  </si>
  <si>
    <t xml:space="preserve">株式会社ツヤマ</t>
  </si>
  <si>
    <t xml:space="preserve">http://www.tsuyama-h.jp/</t>
  </si>
  <si>
    <t xml:space="preserve">坂出市・宇多津町・丸亀市の注文住宅・新築戸建て</t>
  </si>
  <si>
    <t xml:space="preserve">中讃エリアの注文住宅工務店で、規格商品の追加余地がある。</t>
  </si>
  <si>
    <t xml:space="preserve">観音寺市</t>
  </si>
  <si>
    <t xml:space="preserve">ハウスデザイン三協（三協ハウジング）</t>
  </si>
  <si>
    <t xml:space="preserve">https://www.k3kyo.co.jp/</t>
  </si>
  <si>
    <t xml:space="preserve">新築注文住宅</t>
  </si>
  <si>
    <t xml:space="preserve">県西部（観音寺）の注文住宅会社で、ローコスト帯の受け皿となる商品を補える。</t>
  </si>
  <si>
    <t xml:space="preserve">高松市</t>
  </si>
  <si>
    <t xml:space="preserve">株式会社ロータリーハウス</t>
  </si>
  <si>
    <r>
      <rPr>
        <sz val="10"/>
        <rFont val="WenQuanYi Zen Hei"/>
        <family val="2"/>
      </rPr>
      <t xml:space="preserve">長期優良住宅・自由設計の注文住宅、平屋に強い（</t>
    </r>
    <r>
      <rPr>
        <sz val="10"/>
        <rFont val="Arial"/>
        <family val="0"/>
        <charset val="1"/>
      </rPr>
      <t xml:space="preserve">2022</t>
    </r>
    <r>
      <rPr>
        <sz val="10"/>
        <rFont val="WenQuanYi Zen Hei"/>
        <family val="2"/>
      </rPr>
      <t xml:space="preserve">年度の施主の約半数が平屋）。グループで不動産も</t>
    </r>
  </si>
  <si>
    <r>
      <rPr>
        <sz val="10"/>
        <rFont val="WenQuanYi Zen Hei"/>
        <family val="2"/>
      </rPr>
      <t xml:space="preserve">ロータリーハウス・ホールディングスが</t>
    </r>
    <r>
      <rPr>
        <sz val="10"/>
        <rFont val="Arial"/>
        <family val="0"/>
        <charset val="1"/>
      </rPr>
      <t xml:space="preserve">2021</t>
    </r>
    <r>
      <rPr>
        <sz val="10"/>
        <rFont val="WenQuanYi Zen Hei"/>
        <family val="2"/>
      </rPr>
      <t xml:space="preserve">年度に香川県・高松市商圏の注文住宅着工棟数総合</t>
    </r>
    <r>
      <rPr>
        <sz val="10"/>
        <rFont val="Arial"/>
        <family val="0"/>
        <charset val="1"/>
      </rPr>
      <t xml:space="preserve">No.1</t>
    </r>
  </si>
  <si>
    <t xml:space="preserve">地場上位で規模は大きめだが、低価格の規格ラインを別ブランドとして持たせる提案ならありうる。</t>
  </si>
  <si>
    <t xml:space="preserve">https://resemom.jp/release/prtimes/20230913/104104.html</t>
  </si>
  <si>
    <t xml:space="preserve">高陽建設株式会社</t>
  </si>
  <si>
    <t xml:space="preserve">企画・製材・施工・アフターまで一貫の木造住宅。注文住宅・リノベ・規格住宅</t>
  </si>
  <si>
    <r>
      <rPr>
        <sz val="10"/>
        <rFont val="Arial"/>
        <family val="0"/>
        <charset val="1"/>
      </rPr>
      <t xml:space="preserve">1960</t>
    </r>
    <r>
      <rPr>
        <sz val="10"/>
        <rFont val="WenQuanYi Zen Hei"/>
        <family val="2"/>
      </rPr>
      <t xml:space="preserve">年設立、社会保険被保険者数</t>
    </r>
    <r>
      <rPr>
        <sz val="10"/>
        <rFont val="Arial"/>
        <family val="0"/>
        <charset val="1"/>
      </rPr>
      <t xml:space="preserve">9</t>
    </r>
    <r>
      <rPr>
        <sz val="10"/>
        <rFont val="WenQuanYi Zen Hei"/>
        <family val="2"/>
      </rPr>
      <t xml:space="preserve">名</t>
    </r>
  </si>
  <si>
    <t xml:space="preserve">製材から一貫で手がける木造の会社。規格住宅はすでにあるが、高性能デザイン規格としての上位互換を提案できる。</t>
  </si>
  <si>
    <t xml:space="preserve">https://compalyze.co.jp/company/4470001001467</t>
  </si>
  <si>
    <t xml:space="preserve">エヌケー建設株式会社</t>
  </si>
  <si>
    <r>
      <rPr>
        <sz val="10"/>
        <rFont val="WenQuanYi Zen Hei"/>
        <family val="2"/>
      </rPr>
      <t xml:space="preserve">鉄骨住宅メーカーとして創業し、</t>
    </r>
    <r>
      <rPr>
        <sz val="10"/>
        <rFont val="Arial"/>
        <family val="0"/>
        <charset val="1"/>
      </rPr>
      <t xml:space="preserve">RC</t>
    </r>
    <r>
      <rPr>
        <sz val="10"/>
        <rFont val="WenQuanYi Zen Hei"/>
        <family val="2"/>
      </rPr>
      <t xml:space="preserve">造・木造住宅・公共工事（学校・消防署等）を手がける総合建設</t>
    </r>
  </si>
  <si>
    <r>
      <rPr>
        <sz val="10"/>
        <rFont val="WenQuanYi Zen Hei"/>
        <family val="2"/>
      </rPr>
      <t xml:space="preserve">従業員約</t>
    </r>
    <r>
      <rPr>
        <sz val="10"/>
        <rFont val="Arial"/>
        <family val="0"/>
        <charset val="1"/>
      </rPr>
      <t xml:space="preserve">32</t>
    </r>
    <r>
      <rPr>
        <sz val="10"/>
        <rFont val="WenQuanYi Zen Hei"/>
        <family val="2"/>
      </rPr>
      <t xml:space="preserve">名、年商約</t>
    </r>
    <r>
      <rPr>
        <sz val="10"/>
        <rFont val="Arial"/>
        <family val="0"/>
        <charset val="1"/>
      </rPr>
      <t xml:space="preserve">15</t>
    </r>
    <r>
      <rPr>
        <sz val="10"/>
        <rFont val="WenQuanYi Zen Hei"/>
        <family val="2"/>
      </rPr>
      <t xml:space="preserve">億円、</t>
    </r>
    <r>
      <rPr>
        <sz val="10"/>
        <rFont val="Arial"/>
        <family val="0"/>
        <charset val="1"/>
      </rPr>
      <t xml:space="preserve">1970</t>
    </r>
    <r>
      <rPr>
        <sz val="10"/>
        <rFont val="WenQuanYi Zen Hei"/>
        <family val="2"/>
      </rPr>
      <t xml:space="preserve">年設立</t>
    </r>
  </si>
  <si>
    <t xml:space="preserve">公共工事との兼業で、住宅は規格商品で効率よく受注を伸ばせる。</t>
  </si>
  <si>
    <t xml:space="preserve">https://news.ksb.co.jp/article/15416864</t>
  </si>
  <si>
    <t xml:space="preserve">アイラックホーム株式会社</t>
  </si>
  <si>
    <r>
      <rPr>
        <sz val="10"/>
        <rFont val="WenQuanYi Zen Hei"/>
        <family val="2"/>
      </rPr>
      <t xml:space="preserve">自然素材の注文住宅、不動産売買・宅地開発（</t>
    </r>
    <r>
      <rPr>
        <sz val="10"/>
        <rFont val="Arial"/>
        <family val="0"/>
        <charset val="1"/>
      </rPr>
      <t xml:space="preserve">1978</t>
    </r>
    <r>
      <rPr>
        <sz val="10"/>
        <rFont val="WenQuanYi Zen Hei"/>
        <family val="2"/>
      </rPr>
      <t xml:space="preserve">年設立）</t>
    </r>
  </si>
  <si>
    <t xml:space="preserve">不動産と宅地開発を兼業しており、土地とセットで売る規格住宅として販売しやすい。</t>
  </si>
  <si>
    <t xml:space="preserve">https://mynavi-agent.jp/corpdetail/29948/</t>
  </si>
  <si>
    <t xml:space="preserve">株式会社日進堂</t>
  </si>
  <si>
    <t xml:space="preserve">香川の地元ビルダー（住宅・不動産）。ハウスドゥ高松中央店も運営</t>
  </si>
  <si>
    <r>
      <rPr>
        <sz val="10"/>
        <rFont val="WenQuanYi Zen Hei"/>
        <family val="2"/>
      </rPr>
      <t xml:space="preserve">香川県の戸建着工棟数で</t>
    </r>
    <r>
      <rPr>
        <sz val="10"/>
        <rFont val="Arial"/>
        <family val="0"/>
        <charset val="1"/>
      </rPr>
      <t xml:space="preserve">2010</t>
    </r>
    <r>
      <rPr>
        <sz val="10"/>
        <rFont val="WenQuanYi Zen Hei"/>
        <family val="2"/>
      </rPr>
      <t xml:space="preserve">〜</t>
    </r>
    <r>
      <rPr>
        <sz val="10"/>
        <rFont val="Arial"/>
        <family val="0"/>
        <charset val="1"/>
      </rPr>
      <t xml:space="preserve">2024</t>
    </r>
    <r>
      <rPr>
        <sz val="10"/>
        <rFont val="WenQuanYi Zen Hei"/>
        <family val="2"/>
      </rPr>
      <t xml:space="preserve">年度</t>
    </r>
    <r>
      <rPr>
        <sz val="10"/>
        <rFont val="Arial"/>
        <family val="0"/>
        <charset val="1"/>
      </rPr>
      <t xml:space="preserve">15</t>
    </r>
    <r>
      <rPr>
        <sz val="10"/>
        <rFont val="WenQuanYi Zen Hei"/>
        <family val="2"/>
      </rPr>
      <t xml:space="preserve">年連続</t>
    </r>
    <r>
      <rPr>
        <sz val="10"/>
        <rFont val="Arial"/>
        <family val="0"/>
        <charset val="1"/>
      </rPr>
      <t xml:space="preserve">No.1</t>
    </r>
    <r>
      <rPr>
        <sz val="10"/>
        <rFont val="WenQuanYi Zen Hei"/>
        <family val="2"/>
      </rPr>
      <t xml:space="preserve">（住宅産業研究所調べのランキング）</t>
    </r>
  </si>
  <si>
    <r>
      <rPr>
        <sz val="10"/>
        <rFont val="WenQuanYi Zen Hei"/>
        <family val="2"/>
      </rPr>
      <t xml:space="preserve">ハウスドゥ（不動産</t>
    </r>
    <r>
      <rPr>
        <sz val="10"/>
        <rFont val="Arial"/>
        <family val="0"/>
        <charset val="1"/>
      </rPr>
      <t xml:space="preserve">FC</t>
    </r>
    <r>
      <rPr>
        <sz val="10"/>
        <rFont val="WenQuanYi Zen Hei"/>
        <family val="2"/>
      </rPr>
      <t xml:space="preserve">）加盟店を運営</t>
    </r>
  </si>
  <si>
    <t xml:space="preserve">県内最大手で対象規模を超えるため、競合把握として記載。</t>
  </si>
  <si>
    <t xml:space="preserve">https://job.mynavi.jp/27/pc/search/corp89971/outline.html</t>
  </si>
  <si>
    <t xml:space="preserve">土亀工務店</t>
  </si>
  <si>
    <t xml:space="preserve">https://www.tuchikame.com/</t>
  </si>
  <si>
    <t xml:space="preserve">リフォーム・古民家再生（三豊・観音寺・善通寺・丸亀など）</t>
  </si>
  <si>
    <t xml:space="preserve">リフォーム主体で新築への参入余地はあるが、情報が不足している。</t>
  </si>
  <si>
    <t xml:space="preserve">高建巧房</t>
  </si>
  <si>
    <t xml:space="preserve">https://takakenkobo.jp/</t>
  </si>
  <si>
    <t xml:space="preserve">リフォーム・新築・注文住宅</t>
  </si>
  <si>
    <t xml:space="preserve">リフォームと新築の兼業型で、新築の受注拡大策として規格住宅を提案できる。</t>
  </si>
  <si>
    <t xml:space="preserve">株式会社坂井工務店</t>
  </si>
  <si>
    <t xml:space="preserve">https://sakai-koumuten.jp/</t>
  </si>
  <si>
    <r>
      <rPr>
        <sz val="10"/>
        <rFont val="WenQuanYi Zen Hei"/>
        <family val="2"/>
      </rPr>
      <t xml:space="preserve">注文住宅・規格住宅・店舗・リノベ。</t>
    </r>
    <r>
      <rPr>
        <sz val="10"/>
        <rFont val="Arial"/>
        <family val="0"/>
        <charset val="1"/>
      </rPr>
      <t xml:space="preserve">SW</t>
    </r>
    <r>
      <rPr>
        <sz val="10"/>
        <rFont val="WenQuanYi Zen Hei"/>
        <family val="2"/>
      </rPr>
      <t xml:space="preserve">工法推奨、</t>
    </r>
    <r>
      <rPr>
        <sz val="10"/>
        <rFont val="Arial"/>
        <family val="0"/>
        <charset val="1"/>
      </rPr>
      <t xml:space="preserve">LIXIL</t>
    </r>
    <r>
      <rPr>
        <sz val="10"/>
        <rFont val="WenQuanYi Zen Hei"/>
        <family val="2"/>
      </rPr>
      <t xml:space="preserve">「</t>
    </r>
    <r>
      <rPr>
        <sz val="10"/>
        <rFont val="Arial"/>
        <family val="0"/>
        <charset val="1"/>
      </rPr>
      <t xml:space="preserve">Tatete</t>
    </r>
    <r>
      <rPr>
        <sz val="10"/>
        <rFont val="WenQuanYi Zen Hei"/>
        <family val="2"/>
      </rPr>
      <t xml:space="preserve">」で</t>
    </r>
    <r>
      <rPr>
        <sz val="10"/>
        <rFont val="Arial"/>
        <family val="0"/>
        <charset val="1"/>
      </rPr>
      <t xml:space="preserve">ZEH</t>
    </r>
    <r>
      <rPr>
        <sz val="10"/>
        <rFont val="WenQuanYi Zen Hei"/>
        <family val="2"/>
      </rPr>
      <t xml:space="preserve">提案。キャンプ場も運営</t>
    </r>
  </si>
  <si>
    <r>
      <rPr>
        <sz val="10"/>
        <rFont val="Arial"/>
        <family val="0"/>
        <charset val="1"/>
      </rPr>
      <t xml:space="preserve">1958</t>
    </r>
    <r>
      <rPr>
        <sz val="10"/>
        <rFont val="WenQuanYi Zen Hei"/>
        <family val="2"/>
      </rPr>
      <t xml:space="preserve">年創業</t>
    </r>
  </si>
  <si>
    <r>
      <rPr>
        <sz val="10"/>
        <rFont val="WenQuanYi Zen Hei"/>
        <family val="2"/>
      </rPr>
      <t xml:space="preserve">規格住宅ブランド「</t>
    </r>
    <r>
      <rPr>
        <sz val="10"/>
        <rFont val="Arial"/>
        <family val="0"/>
        <charset val="1"/>
      </rPr>
      <t xml:space="preserve">TRETTIO</t>
    </r>
    <r>
      <rPr>
        <sz val="10"/>
        <rFont val="WenQuanYi Zen Hei"/>
        <family val="2"/>
      </rPr>
      <t xml:space="preserve">」取扱。</t>
    </r>
    <r>
      <rPr>
        <sz val="10"/>
        <rFont val="Arial"/>
        <family val="0"/>
        <charset val="1"/>
      </rPr>
      <t xml:space="preserve">LIXIL TEPCO</t>
    </r>
    <r>
      <rPr>
        <sz val="10"/>
        <rFont val="WenQuanYi Zen Hei"/>
        <family val="2"/>
      </rPr>
      <t xml:space="preserve">スマートパートナーズ「</t>
    </r>
    <r>
      <rPr>
        <sz val="10"/>
        <rFont val="Arial"/>
        <family val="0"/>
        <charset val="1"/>
      </rPr>
      <t xml:space="preserve">Tatete</t>
    </r>
    <r>
      <rPr>
        <sz val="10"/>
        <rFont val="WenQuanYi Zen Hei"/>
        <family val="2"/>
      </rPr>
      <t xml:space="preserve">」利用</t>
    </r>
  </si>
  <si>
    <t xml:space="preserve">他社の規格ブランドをすでに扱っているため、乗り換えか併売での提案になる。</t>
  </si>
  <si>
    <t xml:space="preserve">株式会社田中工務店</t>
  </si>
  <si>
    <r>
      <rPr>
        <sz val="10"/>
        <rFont val="WenQuanYi Zen Hei"/>
        <family val="2"/>
      </rPr>
      <t xml:space="preserve">注文住宅、耐震改修・断熱改修・リノベーション（</t>
    </r>
    <r>
      <rPr>
        <sz val="10"/>
        <rFont val="Arial"/>
        <family val="0"/>
        <charset val="1"/>
      </rPr>
      <t xml:space="preserve">1997</t>
    </r>
    <r>
      <rPr>
        <sz val="10"/>
        <rFont val="WenQuanYi Zen Hei"/>
        <family val="2"/>
      </rPr>
      <t xml:space="preserve">年設立）</t>
    </r>
  </si>
  <si>
    <t xml:space="preserve">改修中心で、新築の規格商品を加えれば事業を広げられるが、情報が不足している。</t>
  </si>
  <si>
    <t xml:space="preserve">https://crexgroup.com/ja/home-building/region/takamatsu-home-builder-selection-guide/</t>
  </si>
  <si>
    <t xml:space="preserve">日本エネルギー総合システム株式会社（さくら夢ハウス）</t>
  </si>
  <si>
    <r>
      <rPr>
        <sz val="10"/>
        <rFont val="WenQuanYi Zen Hei"/>
        <family val="2"/>
      </rPr>
      <t xml:space="preserve">超ローコスト住宅専門店「さくら夢ハウス」（</t>
    </r>
    <r>
      <rPr>
        <sz val="10"/>
        <rFont val="Arial"/>
        <family val="0"/>
        <charset val="1"/>
      </rPr>
      <t xml:space="preserve">768</t>
    </r>
    <r>
      <rPr>
        <sz val="10"/>
        <rFont val="WenQuanYi Zen Hei"/>
        <family val="2"/>
      </rPr>
      <t xml:space="preserve">万円〜）。県内</t>
    </r>
    <r>
      <rPr>
        <sz val="10"/>
        <rFont val="Arial"/>
        <family val="0"/>
        <charset val="1"/>
      </rPr>
      <t xml:space="preserve">3</t>
    </r>
    <r>
      <rPr>
        <sz val="10"/>
        <rFont val="WenQuanYi Zen Hei"/>
        <family val="2"/>
      </rPr>
      <t xml:space="preserve">店舗。再エネ・新電力も</t>
    </r>
  </si>
  <si>
    <r>
      <rPr>
        <sz val="10"/>
        <rFont val="WenQuanYi Zen Hei"/>
        <family val="2"/>
      </rPr>
      <t xml:space="preserve">年間完工</t>
    </r>
    <r>
      <rPr>
        <sz val="10"/>
        <rFont val="Arial"/>
        <family val="0"/>
        <charset val="1"/>
      </rPr>
      <t xml:space="preserve">139</t>
    </r>
    <r>
      <rPr>
        <sz val="10"/>
        <rFont val="WenQuanYi Zen Hei"/>
        <family val="2"/>
      </rPr>
      <t xml:space="preserve">棟（</t>
    </r>
    <r>
      <rPr>
        <sz val="10"/>
        <rFont val="Arial"/>
        <family val="0"/>
        <charset val="1"/>
      </rPr>
      <t xml:space="preserve">2024</t>
    </r>
    <r>
      <rPr>
        <sz val="10"/>
        <rFont val="WenQuanYi Zen Hei"/>
        <family val="2"/>
      </rPr>
      <t xml:space="preserve">年度）、県内契約棟数シェア</t>
    </r>
    <r>
      <rPr>
        <sz val="10"/>
        <rFont val="Arial"/>
        <family val="0"/>
        <charset val="1"/>
      </rPr>
      <t xml:space="preserve">2</t>
    </r>
    <r>
      <rPr>
        <sz val="10"/>
        <rFont val="WenQuanYi Zen Hei"/>
        <family val="2"/>
      </rPr>
      <t xml:space="preserve">位、累計</t>
    </r>
    <r>
      <rPr>
        <sz val="10"/>
        <rFont val="Arial"/>
        <family val="0"/>
        <charset val="1"/>
      </rPr>
      <t xml:space="preserve">1,000</t>
    </r>
    <r>
      <rPr>
        <sz val="10"/>
        <rFont val="WenQuanYi Zen Hei"/>
        <family val="2"/>
      </rPr>
      <t xml:space="preserve">棟以上</t>
    </r>
  </si>
  <si>
    <t xml:space="preserve">自社ローコストブランドあり（競合）</t>
  </si>
  <si>
    <t xml:space="preserve">ローコスト帯の直接の競合であり、加盟先ではなく競合として把握するために記載。</t>
  </si>
  <si>
    <t xml:space="preserve">https://resemom.jp/release/prtimes/20250626/148666.html</t>
  </si>
  <si>
    <r>
      <rPr>
        <b val="true"/>
        <sz val="14"/>
        <rFont val="Arial"/>
        <family val="0"/>
        <charset val="1"/>
      </rPr>
      <t xml:space="preserve">LIFE X </t>
    </r>
    <r>
      <rPr>
        <b val="true"/>
        <sz val="14"/>
        <rFont val="WenQuanYi Zen Hei"/>
        <family val="2"/>
      </rPr>
      <t xml:space="preserve">加盟店開拓 アタックリスト サマリー</t>
    </r>
  </si>
  <si>
    <t xml:space="preserve">数値はすべて『アタックリスト』シートから数式で自動集計されます。</t>
  </si>
  <si>
    <t xml:space="preserve">合計</t>
  </si>
  <si>
    <t xml:space="preserve">接触済</t>
  </si>
  <si>
    <t xml:space="preserve">商談中以上</t>
  </si>
  <si>
    <t xml:space="preserve">加盟決定</t>
  </si>
  <si>
    <t xml:space="preserve">ステータス別</t>
  </si>
  <si>
    <t xml:space="preserve">資料送付</t>
  </si>
  <si>
    <t xml:space="preserve">アポ獲得</t>
  </si>
  <si>
    <t xml:space="preserve">商談中</t>
  </si>
  <si>
    <t xml:space="preserve">セミナー参加</t>
  </si>
  <si>
    <t xml:space="preserve">検討中</t>
  </si>
  <si>
    <t xml:space="preserve">見送り</t>
  </si>
  <si>
    <t xml:space="preserve">対象外</t>
  </si>
  <si>
    <r>
      <rPr>
        <sz val="10"/>
        <rFont val="Arial"/>
        <family val="0"/>
        <charset val="1"/>
      </rPr>
      <t xml:space="preserve">2026</t>
    </r>
    <r>
      <rPr>
        <sz val="10"/>
        <rFont val="WenQuanYi Zen Hei"/>
        <family val="2"/>
      </rPr>
      <t xml:space="preserve">年</t>
    </r>
    <r>
      <rPr>
        <sz val="10"/>
        <rFont val="Arial"/>
        <family val="0"/>
        <charset val="1"/>
      </rPr>
      <t xml:space="preserve">12</t>
    </r>
    <r>
      <rPr>
        <sz val="10"/>
        <rFont val="WenQuanYi Zen Hei"/>
        <family val="2"/>
      </rPr>
      <t xml:space="preserve">月末 全国</t>
    </r>
    <r>
      <rPr>
        <sz val="10"/>
        <rFont val="Arial"/>
        <family val="0"/>
        <charset val="1"/>
      </rPr>
      <t xml:space="preserve">50</t>
    </r>
    <r>
      <rPr>
        <sz val="10"/>
        <rFont val="WenQuanYi Zen Hei"/>
        <family val="2"/>
      </rPr>
      <t xml:space="preserve">社目標（</t>
    </r>
    <r>
      <rPr>
        <sz val="10"/>
        <rFont val="Arial"/>
        <family val="0"/>
        <charset val="1"/>
      </rPr>
      <t xml:space="preserve">PR TIMES</t>
    </r>
    <r>
      <rPr>
        <sz val="10"/>
        <rFont val="WenQuanYi Zen Hei"/>
        <family val="2"/>
      </rPr>
      <t xml:space="preserve">発表）に対する重点</t>
    </r>
    <r>
      <rPr>
        <sz val="10"/>
        <rFont val="Arial"/>
        <family val="0"/>
        <charset val="1"/>
      </rPr>
      <t xml:space="preserve">6</t>
    </r>
    <r>
      <rPr>
        <sz val="10"/>
        <rFont val="WenQuanYi Zen Hei"/>
        <family val="2"/>
      </rPr>
      <t xml:space="preserve">県からの加盟決定数</t>
    </r>
  </si>
  <si>
    <r>
      <rPr>
        <b val="true"/>
        <sz val="11"/>
        <color rgb="FF1F3864"/>
        <rFont val="Arial"/>
        <family val="0"/>
        <charset val="1"/>
      </rPr>
      <t xml:space="preserve">■ LIFE X </t>
    </r>
    <r>
      <rPr>
        <b val="true"/>
        <sz val="11"/>
        <color rgb="FF1F3864"/>
        <rFont val="WenQuanYi Zen Hei"/>
        <family val="2"/>
      </rPr>
      <t xml:space="preserve">概要（公開情報ベース）</t>
    </r>
  </si>
  <si>
    <t xml:space="preserve">運営</t>
  </si>
  <si>
    <r>
      <rPr>
        <sz val="10"/>
        <rFont val="WenQuanYi Zen Hei"/>
        <family val="2"/>
      </rPr>
      <t xml:space="preserve">株式会社</t>
    </r>
    <r>
      <rPr>
        <sz val="10"/>
        <rFont val="Arial"/>
        <family val="0"/>
        <charset val="1"/>
      </rPr>
      <t xml:space="preserve">G</t>
    </r>
    <r>
      <rPr>
        <sz val="10"/>
        <rFont val="WenQuanYi Zen Hei"/>
        <family val="2"/>
      </rPr>
      <t xml:space="preserve">ハウス（大阪）</t>
    </r>
  </si>
  <si>
    <t xml:space="preserve">開始</t>
  </si>
  <si>
    <r>
      <rPr>
        <sz val="10"/>
        <rFont val="Arial"/>
        <family val="0"/>
        <charset val="1"/>
      </rPr>
      <t xml:space="preserve">2026</t>
    </r>
    <r>
      <rPr>
        <sz val="10"/>
        <rFont val="WenQuanYi Zen Hei"/>
        <family val="2"/>
      </rPr>
      <t xml:space="preserve">年</t>
    </r>
    <r>
      <rPr>
        <sz val="10"/>
        <rFont val="Arial"/>
        <family val="0"/>
        <charset val="1"/>
      </rPr>
      <t xml:space="preserve">4</t>
    </r>
    <r>
      <rPr>
        <sz val="10"/>
        <rFont val="WenQuanYi Zen Hei"/>
        <family val="2"/>
      </rPr>
      <t xml:space="preserve">月</t>
    </r>
    <r>
      <rPr>
        <sz val="10"/>
        <rFont val="Arial"/>
        <family val="0"/>
        <charset val="1"/>
      </rPr>
      <t xml:space="preserve">1</t>
    </r>
    <r>
      <rPr>
        <sz val="10"/>
        <rFont val="WenQuanYi Zen Hei"/>
        <family val="2"/>
      </rPr>
      <t xml:space="preserve">日。開始</t>
    </r>
    <r>
      <rPr>
        <sz val="10"/>
        <rFont val="Arial"/>
        <family val="0"/>
        <charset val="1"/>
      </rPr>
      <t xml:space="preserve">2</t>
    </r>
    <r>
      <rPr>
        <sz val="10"/>
        <rFont val="WenQuanYi Zen Hei"/>
        <family val="2"/>
      </rPr>
      <t xml:space="preserve">ヶ月で加盟</t>
    </r>
    <r>
      <rPr>
        <sz val="10"/>
        <rFont val="Arial"/>
        <family val="0"/>
        <charset val="1"/>
      </rPr>
      <t xml:space="preserve">15</t>
    </r>
    <r>
      <rPr>
        <sz val="10"/>
        <rFont val="WenQuanYi Zen Hei"/>
        <family val="2"/>
      </rPr>
      <t xml:space="preserve">社突破、施主からの問い合わせ</t>
    </r>
    <r>
      <rPr>
        <sz val="10"/>
        <rFont val="Arial"/>
        <family val="0"/>
        <charset val="1"/>
      </rPr>
      <t xml:space="preserve">300</t>
    </r>
    <r>
      <rPr>
        <sz val="10"/>
        <rFont val="WenQuanYi Zen Hei"/>
        <family val="2"/>
      </rPr>
      <t xml:space="preserve">件以上</t>
    </r>
  </si>
  <si>
    <t xml:space="preserve">目標</t>
  </si>
  <si>
    <r>
      <rPr>
        <sz val="10"/>
        <rFont val="Arial"/>
        <family val="0"/>
        <charset val="1"/>
      </rPr>
      <t xml:space="preserve">2026</t>
    </r>
    <r>
      <rPr>
        <sz val="10"/>
        <rFont val="WenQuanYi Zen Hei"/>
        <family val="2"/>
      </rPr>
      <t xml:space="preserve">年</t>
    </r>
    <r>
      <rPr>
        <sz val="10"/>
        <rFont val="Arial"/>
        <family val="0"/>
        <charset val="1"/>
      </rPr>
      <t xml:space="preserve">12</t>
    </r>
    <r>
      <rPr>
        <sz val="10"/>
        <rFont val="WenQuanYi Zen Hei"/>
        <family val="2"/>
      </rPr>
      <t xml:space="preserve">月末までに全国</t>
    </r>
    <r>
      <rPr>
        <sz val="10"/>
        <rFont val="Arial"/>
        <family val="0"/>
        <charset val="1"/>
      </rPr>
      <t xml:space="preserve">50</t>
    </r>
    <r>
      <rPr>
        <sz val="10"/>
        <rFont val="WenQuanYi Zen Hei"/>
        <family val="2"/>
      </rPr>
      <t xml:space="preserve">社</t>
    </r>
  </si>
  <si>
    <t xml:space="preserve">料金体系</t>
  </si>
  <si>
    <t xml:space="preserve">棟数に応じたロイヤリティなし。加盟金＋月会費のみ（金額は公開情報では未確認）</t>
  </si>
  <si>
    <t xml:space="preserve">重点募集エリア</t>
  </si>
  <si>
    <t xml:space="preserve">神奈川・千葉・静岡・愛知・石川・香川（いずれも既存加盟店なし）</t>
  </si>
  <si>
    <t xml:space="preserve">価格</t>
  </si>
  <si>
    <r>
      <rPr>
        <sz val="10"/>
        <rFont val="WenQuanYi Zen Hei"/>
        <family val="2"/>
      </rPr>
      <t xml:space="preserve">本体</t>
    </r>
    <r>
      <rPr>
        <sz val="10"/>
        <rFont val="Arial"/>
        <family val="0"/>
        <charset val="1"/>
      </rPr>
      <t xml:space="preserve">1,890</t>
    </r>
    <r>
      <rPr>
        <sz val="10"/>
        <rFont val="WenQuanYi Zen Hei"/>
        <family val="2"/>
      </rPr>
      <t xml:space="preserve">万円〜（税込</t>
    </r>
    <r>
      <rPr>
        <sz val="10"/>
        <rFont val="Arial"/>
        <family val="0"/>
        <charset val="1"/>
      </rPr>
      <t xml:space="preserve">2,079</t>
    </r>
    <r>
      <rPr>
        <sz val="10"/>
        <rFont val="WenQuanYi Zen Hei"/>
        <family val="2"/>
      </rPr>
      <t xml:space="preserve">万円）、坪単価</t>
    </r>
    <r>
      <rPr>
        <sz val="10"/>
        <rFont val="Arial"/>
        <family val="0"/>
        <charset val="1"/>
      </rPr>
      <t xml:space="preserve">60</t>
    </r>
    <r>
      <rPr>
        <sz val="10"/>
        <rFont val="WenQuanYi Zen Hei"/>
        <family val="2"/>
      </rPr>
      <t xml:space="preserve">万円前後</t>
    </r>
  </si>
  <si>
    <t xml:space="preserve">プラン</t>
  </si>
  <si>
    <r>
      <rPr>
        <sz val="10"/>
        <rFont val="WenQuanYi Zen Hei"/>
        <family val="2"/>
      </rPr>
      <t xml:space="preserve">平屋・</t>
    </r>
    <r>
      <rPr>
        <sz val="10"/>
        <rFont val="Arial"/>
        <family val="0"/>
        <charset val="1"/>
      </rPr>
      <t xml:space="preserve">2</t>
    </r>
    <r>
      <rPr>
        <sz val="10"/>
        <rFont val="WenQuanYi Zen Hei"/>
        <family val="2"/>
      </rPr>
      <t xml:space="preserve">階建て </t>
    </r>
    <r>
      <rPr>
        <sz val="10"/>
        <rFont val="Arial"/>
        <family val="0"/>
        <charset val="1"/>
      </rPr>
      <t xml:space="preserve">70</t>
    </r>
    <r>
      <rPr>
        <sz val="10"/>
        <rFont val="WenQuanYi Zen Hei"/>
        <family val="2"/>
      </rPr>
      <t xml:space="preserve">プラン以上（有名建築家プランも予定）</t>
    </r>
  </si>
  <si>
    <t xml:space="preserve">性能</t>
  </si>
  <si>
    <r>
      <rPr>
        <sz val="10"/>
        <rFont val="WenQuanYi Zen Hei"/>
        <family val="2"/>
      </rPr>
      <t xml:space="preserve">耐震等級</t>
    </r>
    <r>
      <rPr>
        <sz val="10"/>
        <rFont val="Arial"/>
        <family val="0"/>
        <charset val="1"/>
      </rPr>
      <t xml:space="preserve">3</t>
    </r>
    <r>
      <rPr>
        <sz val="10"/>
        <rFont val="WenQuanYi Zen Hei"/>
        <family val="2"/>
      </rPr>
      <t xml:space="preserve">（許容応力度計算）・制振ダンパー／断熱等級</t>
    </r>
    <r>
      <rPr>
        <sz val="10"/>
        <rFont val="Arial"/>
        <family val="0"/>
        <charset val="1"/>
      </rPr>
      <t xml:space="preserve">6</t>
    </r>
    <r>
      <rPr>
        <sz val="10"/>
        <rFont val="WenQuanYi Zen Hei"/>
        <family val="2"/>
      </rPr>
      <t xml:space="preserve">（</t>
    </r>
    <r>
      <rPr>
        <sz val="10"/>
        <rFont val="Arial"/>
        <family val="0"/>
        <charset val="1"/>
      </rPr>
      <t xml:space="preserve">UA</t>
    </r>
    <r>
      <rPr>
        <sz val="10"/>
        <rFont val="WenQuanYi Zen Hei"/>
        <family val="2"/>
      </rPr>
      <t xml:space="preserve">値</t>
    </r>
    <r>
      <rPr>
        <sz val="10"/>
        <rFont val="Arial"/>
        <family val="0"/>
        <charset val="1"/>
      </rPr>
      <t xml:space="preserve">0.46</t>
    </r>
    <r>
      <rPr>
        <sz val="10"/>
        <rFont val="WenQuanYi Zen Hei"/>
        <family val="2"/>
      </rPr>
      <t xml:space="preserve">）／</t>
    </r>
    <r>
      <rPr>
        <sz val="10"/>
        <rFont val="Arial"/>
        <family val="0"/>
        <charset val="1"/>
      </rPr>
      <t xml:space="preserve">C</t>
    </r>
    <r>
      <rPr>
        <sz val="10"/>
        <rFont val="WenQuanYi Zen Hei"/>
        <family val="2"/>
      </rPr>
      <t xml:space="preserve">値</t>
    </r>
    <r>
      <rPr>
        <sz val="10"/>
        <rFont val="Arial"/>
        <family val="0"/>
        <charset val="1"/>
      </rPr>
      <t xml:space="preserve">0.24</t>
    </r>
    <r>
      <rPr>
        <sz val="10"/>
        <rFont val="WenQuanYi Zen Hei"/>
        <family val="2"/>
      </rPr>
      <t xml:space="preserve">／第一種全熱交換換気／太陽光標準（最大</t>
    </r>
    <r>
      <rPr>
        <sz val="10"/>
        <rFont val="Arial"/>
        <family val="0"/>
        <charset val="1"/>
      </rPr>
      <t xml:space="preserve">11.16kW</t>
    </r>
    <r>
      <rPr>
        <sz val="10"/>
        <rFont val="WenQuanYi Zen Hei"/>
        <family val="2"/>
      </rPr>
      <t xml:space="preserve">）／省令準耐火</t>
    </r>
  </si>
  <si>
    <t xml:space="preserve">設備</t>
  </si>
  <si>
    <r>
      <rPr>
        <sz val="10"/>
        <rFont val="Arial"/>
        <family val="0"/>
        <charset val="1"/>
      </rPr>
      <t xml:space="preserve">GRAFTEKT</t>
    </r>
    <r>
      <rPr>
        <sz val="10"/>
        <rFont val="WenQuanYi Zen Hei"/>
        <family val="2"/>
      </rPr>
      <t xml:space="preserve">キッチン、</t>
    </r>
    <r>
      <rPr>
        <sz val="10"/>
        <rFont val="Arial"/>
        <family val="0"/>
        <charset val="1"/>
      </rPr>
      <t xml:space="preserve">BOSCH</t>
    </r>
    <r>
      <rPr>
        <sz val="10"/>
        <rFont val="WenQuanYi Zen Hei"/>
        <family val="2"/>
      </rPr>
      <t xml:space="preserve">食洗機 など</t>
    </r>
  </si>
  <si>
    <t xml:space="preserve">集客支援</t>
  </si>
  <si>
    <r>
      <rPr>
        <sz val="10"/>
        <rFont val="Arial"/>
        <family val="0"/>
        <charset val="1"/>
      </rPr>
      <t xml:space="preserve">G</t>
    </r>
    <r>
      <rPr>
        <sz val="10"/>
        <rFont val="WenQuanYi Zen Hei"/>
        <family val="2"/>
      </rPr>
      <t xml:space="preserve">ハウスの</t>
    </r>
    <r>
      <rPr>
        <sz val="10"/>
        <rFont val="Arial"/>
        <family val="0"/>
        <charset val="1"/>
      </rPr>
      <t xml:space="preserve">Web</t>
    </r>
    <r>
      <rPr>
        <sz val="10"/>
        <rFont val="WenQuanYi Zen Hei"/>
        <family val="2"/>
      </rPr>
      <t xml:space="preserve">集客ノウハウを加盟店エリアに展開（</t>
    </r>
    <r>
      <rPr>
        <sz val="10"/>
        <rFont val="Arial"/>
        <family val="0"/>
        <charset val="1"/>
      </rPr>
      <t xml:space="preserve">G</t>
    </r>
    <r>
      <rPr>
        <sz val="10"/>
        <rFont val="WenQuanYi Zen Hei"/>
        <family val="2"/>
      </rPr>
      <t xml:space="preserve">ハウス実績：昨年対比約</t>
    </r>
    <r>
      <rPr>
        <sz val="10"/>
        <rFont val="Arial"/>
        <family val="0"/>
        <charset val="1"/>
      </rPr>
      <t xml:space="preserve">140%</t>
    </r>
    <r>
      <rPr>
        <sz val="10"/>
        <rFont val="WenQuanYi Zen Hei"/>
        <family val="2"/>
      </rPr>
      <t xml:space="preserve">超）</t>
    </r>
  </si>
  <si>
    <r>
      <rPr>
        <b val="true"/>
        <sz val="11"/>
        <color rgb="FF1F3864"/>
        <rFont val="WenQuanYi Zen Hei"/>
        <family val="2"/>
      </rPr>
      <t xml:space="preserve">■ 競合</t>
    </r>
    <r>
      <rPr>
        <b val="true"/>
        <sz val="11"/>
        <color rgb="FF1F3864"/>
        <rFont val="Arial"/>
        <family val="0"/>
        <charset val="1"/>
      </rPr>
      <t xml:space="preserve">FC</t>
    </r>
    <r>
      <rPr>
        <b val="true"/>
        <sz val="11"/>
        <color rgb="FF1F3864"/>
        <rFont val="WenQuanYi Zen Hei"/>
        <family val="2"/>
      </rPr>
      <t xml:space="preserve">の費用水準（比較メディア等の</t>
    </r>
    <r>
      <rPr>
        <b val="true"/>
        <sz val="11"/>
        <color rgb="FF1F3864"/>
        <rFont val="Arial"/>
        <family val="0"/>
        <charset val="1"/>
      </rPr>
      <t xml:space="preserve">2</t>
    </r>
    <r>
      <rPr>
        <b val="true"/>
        <sz val="11"/>
        <color rgb="FF1F3864"/>
        <rFont val="WenQuanYi Zen Hei"/>
        <family val="2"/>
      </rPr>
      <t xml:space="preserve">次情報。商談前に最新情報を確認）</t>
    </r>
  </si>
  <si>
    <t xml:space="preserve">アイフルホーム</t>
  </si>
  <si>
    <r>
      <rPr>
        <sz val="10"/>
        <rFont val="WenQuanYi Zen Hei"/>
        <family val="2"/>
      </rPr>
      <t xml:space="preserve">加盟金</t>
    </r>
    <r>
      <rPr>
        <sz val="10"/>
        <rFont val="Arial"/>
        <family val="0"/>
        <charset val="1"/>
      </rPr>
      <t xml:space="preserve">400</t>
    </r>
    <r>
      <rPr>
        <sz val="10"/>
        <rFont val="WenQuanYi Zen Hei"/>
        <family val="2"/>
      </rPr>
      <t xml:space="preserve">万円（税別）／月額固定</t>
    </r>
    <r>
      <rPr>
        <sz val="10"/>
        <rFont val="Arial"/>
        <family val="0"/>
        <charset val="1"/>
      </rPr>
      <t xml:space="preserve">30</t>
    </r>
    <r>
      <rPr>
        <sz val="10"/>
        <rFont val="WenQuanYi Zen Hei"/>
        <family val="2"/>
      </rPr>
      <t xml:space="preserve">万円＋延床</t>
    </r>
    <r>
      <rPr>
        <sz val="10"/>
        <rFont val="Arial"/>
        <family val="0"/>
        <charset val="1"/>
      </rPr>
      <t xml:space="preserve">1</t>
    </r>
    <r>
      <rPr>
        <sz val="10"/>
        <rFont val="WenQuanYi Zen Hei"/>
        <family val="2"/>
      </rPr>
      <t xml:space="preserve">㎡あたり</t>
    </r>
    <r>
      <rPr>
        <sz val="10"/>
        <rFont val="Arial"/>
        <family val="0"/>
        <charset val="1"/>
      </rPr>
      <t xml:space="preserve">1,700</t>
    </r>
    <r>
      <rPr>
        <sz val="10"/>
        <rFont val="WenQuanYi Zen Hei"/>
        <family val="2"/>
      </rPr>
      <t xml:space="preserve">〜</t>
    </r>
    <r>
      <rPr>
        <sz val="10"/>
        <rFont val="Arial"/>
        <family val="0"/>
        <charset val="1"/>
      </rPr>
      <t xml:space="preserve">2,200</t>
    </r>
    <r>
      <rPr>
        <sz val="10"/>
        <rFont val="WenQuanYi Zen Hei"/>
        <family val="2"/>
      </rPr>
      <t xml:space="preserve">円／約</t>
    </r>
    <r>
      <rPr>
        <sz val="10"/>
        <rFont val="Arial"/>
        <family val="0"/>
        <charset val="1"/>
      </rPr>
      <t xml:space="preserve">380</t>
    </r>
    <r>
      <rPr>
        <sz val="10"/>
        <rFont val="WenQuanYi Zen Hei"/>
        <family val="2"/>
      </rPr>
      <t xml:space="preserve">エリア完全テリトリー制</t>
    </r>
  </si>
  <si>
    <t xml:space="preserve">R+house</t>
  </si>
  <si>
    <r>
      <rPr>
        <sz val="10"/>
        <rFont val="WenQuanYi Zen Hei"/>
        <family val="2"/>
      </rPr>
      <t xml:space="preserve">加盟金</t>
    </r>
    <r>
      <rPr>
        <sz val="10"/>
        <rFont val="Arial"/>
        <family val="0"/>
        <charset val="1"/>
      </rPr>
      <t xml:space="preserve">500</t>
    </r>
    <r>
      <rPr>
        <sz val="10"/>
        <rFont val="WenQuanYi Zen Hei"/>
        <family val="2"/>
      </rPr>
      <t xml:space="preserve">万円前後／契約</t>
    </r>
    <r>
      <rPr>
        <sz val="10"/>
        <rFont val="Arial"/>
        <family val="0"/>
        <charset val="1"/>
      </rPr>
      <t xml:space="preserve">1</t>
    </r>
    <r>
      <rPr>
        <sz val="10"/>
        <rFont val="WenQuanYi Zen Hei"/>
        <family val="2"/>
      </rPr>
      <t xml:space="preserve">棟ごとにロイヤリティ</t>
    </r>
  </si>
  <si>
    <t xml:space="preserve">ジブンハウス</t>
  </si>
  <si>
    <r>
      <rPr>
        <sz val="10"/>
        <rFont val="WenQuanYi Zen Hei"/>
        <family val="2"/>
      </rPr>
      <t xml:space="preserve">費用非公開／</t>
    </r>
    <r>
      <rPr>
        <sz val="10"/>
        <rFont val="Arial"/>
        <family val="0"/>
        <charset val="1"/>
      </rPr>
      <t xml:space="preserve">store</t>
    </r>
    <r>
      <rPr>
        <sz val="10"/>
        <rFont val="WenQuanYi Zen Hei"/>
        <family val="2"/>
      </rPr>
      <t xml:space="preserve">型は</t>
    </r>
    <r>
      <rPr>
        <sz val="10"/>
        <rFont val="Arial"/>
        <family val="0"/>
        <charset val="1"/>
      </rPr>
      <t xml:space="preserve">1</t>
    </r>
    <r>
      <rPr>
        <sz val="10"/>
        <rFont val="WenQuanYi Zen Hei"/>
        <family val="2"/>
      </rPr>
      <t xml:space="preserve">エリア</t>
    </r>
    <r>
      <rPr>
        <sz val="10"/>
        <rFont val="Arial"/>
        <family val="0"/>
        <charset val="1"/>
      </rPr>
      <t xml:space="preserve">1</t>
    </r>
    <r>
      <rPr>
        <sz val="10"/>
        <rFont val="WenQuanYi Zen Hei"/>
        <family val="2"/>
      </rPr>
      <t xml:space="preserve">店舗、</t>
    </r>
    <r>
      <rPr>
        <sz val="10"/>
        <rFont val="Arial"/>
        <family val="0"/>
        <charset val="1"/>
      </rPr>
      <t xml:space="preserve">instore</t>
    </r>
    <r>
      <rPr>
        <sz val="10"/>
        <rFont val="WenQuanYi Zen Hei"/>
        <family val="2"/>
      </rPr>
      <t xml:space="preserve">型は店舗数制限なし</t>
    </r>
  </si>
  <si>
    <t xml:space="preserve">業界相場</t>
  </si>
  <si>
    <r>
      <rPr>
        <sz val="10"/>
        <rFont val="WenQuanYi Zen Hei"/>
        <family val="2"/>
      </rPr>
      <t xml:space="preserve">加盟金</t>
    </r>
    <r>
      <rPr>
        <sz val="10"/>
        <rFont val="Arial"/>
        <family val="0"/>
        <charset val="1"/>
      </rPr>
      <t xml:space="preserve">200</t>
    </r>
    <r>
      <rPr>
        <sz val="10"/>
        <rFont val="WenQuanYi Zen Hei"/>
        <family val="2"/>
      </rPr>
      <t xml:space="preserve">〜</t>
    </r>
    <r>
      <rPr>
        <sz val="10"/>
        <rFont val="Arial"/>
        <family val="0"/>
        <charset val="1"/>
      </rPr>
      <t xml:space="preserve">500</t>
    </r>
    <r>
      <rPr>
        <sz val="10"/>
        <rFont val="WenQuanYi Zen Hei"/>
        <family val="2"/>
      </rPr>
      <t xml:space="preserve">万円、月額</t>
    </r>
    <r>
      <rPr>
        <sz val="10"/>
        <rFont val="Arial"/>
        <family val="0"/>
        <charset val="1"/>
      </rPr>
      <t xml:space="preserve">20</t>
    </r>
    <r>
      <rPr>
        <sz val="10"/>
        <rFont val="WenQuanYi Zen Hei"/>
        <family val="2"/>
      </rPr>
      <t xml:space="preserve">〜</t>
    </r>
    <r>
      <rPr>
        <sz val="10"/>
        <rFont val="Arial"/>
        <family val="0"/>
        <charset val="1"/>
      </rPr>
      <t xml:space="preserve">30</t>
    </r>
    <r>
      <rPr>
        <sz val="10"/>
        <rFont val="WenQuanYi Zen Hei"/>
        <family val="2"/>
      </rPr>
      <t xml:space="preserve">万円＋棟数課金が一般的</t>
    </r>
  </si>
  <si>
    <t xml:space="preserve">■ 刺さるトーク（タイプ別）</t>
  </si>
  <si>
    <t xml:space="preserve">注文住宅のみの工務店</t>
  </si>
  <si>
    <r>
      <rPr>
        <sz val="10"/>
        <rFont val="WenQuanYi Zen Hei"/>
        <family val="2"/>
      </rPr>
      <t xml:space="preserve">「高単価の注文住宅は残したまま、</t>
    </r>
    <r>
      <rPr>
        <sz val="10"/>
        <rFont val="Arial"/>
        <family val="0"/>
        <charset val="1"/>
      </rPr>
      <t xml:space="preserve">2,000</t>
    </r>
    <r>
      <rPr>
        <sz val="10"/>
        <rFont val="WenQuanYi Zen Hei"/>
        <family val="2"/>
      </rPr>
      <t xml:space="preserve">万円前後の一次取得層向けの商品を、開発費ゼロで追加できます」</t>
    </r>
  </si>
  <si>
    <t xml:space="preserve">棟数を伸ばしたいビルダー</t>
  </si>
  <si>
    <t xml:space="preserve">「棟数が増えてもロイヤリティは増えません。売れるほど利益が残る仕組みです」</t>
  </si>
  <si>
    <r>
      <rPr>
        <b val="true"/>
        <sz val="10"/>
        <rFont val="WenQuanYi Zen Hei"/>
        <family val="2"/>
      </rPr>
      <t xml:space="preserve">他</t>
    </r>
    <r>
      <rPr>
        <b val="true"/>
        <sz val="10"/>
        <rFont val="Arial"/>
        <family val="0"/>
        <charset val="1"/>
      </rPr>
      <t xml:space="preserve">FC</t>
    </r>
    <r>
      <rPr>
        <b val="true"/>
        <sz val="10"/>
        <rFont val="WenQuanYi Zen Hei"/>
        <family val="2"/>
      </rPr>
      <t xml:space="preserve">加盟済みの工務店</t>
    </r>
  </si>
  <si>
    <r>
      <rPr>
        <sz val="10"/>
        <rFont val="WenQuanYi Zen Hei"/>
        <family val="2"/>
      </rPr>
      <t xml:space="preserve">「今の</t>
    </r>
    <r>
      <rPr>
        <sz val="10"/>
        <rFont val="Arial"/>
        <family val="0"/>
        <charset val="1"/>
      </rPr>
      <t xml:space="preserve">FC</t>
    </r>
    <r>
      <rPr>
        <sz val="10"/>
        <rFont val="WenQuanYi Zen Hei"/>
        <family val="2"/>
      </rPr>
      <t xml:space="preserve">と併用しやすい月会費制です。棟数課金の</t>
    </r>
    <r>
      <rPr>
        <sz val="10"/>
        <rFont val="Arial"/>
        <family val="0"/>
        <charset val="1"/>
      </rPr>
      <t xml:space="preserve">FC</t>
    </r>
    <r>
      <rPr>
        <sz val="10"/>
        <rFont val="WenQuanYi Zen Hei"/>
        <family val="2"/>
      </rPr>
      <t xml:space="preserve">と比べて、総コストを試算してみませんか」</t>
    </r>
  </si>
  <si>
    <t xml:space="preserve">集客に悩む工務店</t>
  </si>
  <si>
    <r>
      <rPr>
        <sz val="10"/>
        <rFont val="WenQuanYi Zen Hei"/>
        <family val="2"/>
      </rPr>
      <t xml:space="preserve">「</t>
    </r>
    <r>
      <rPr>
        <sz val="10"/>
        <rFont val="Arial"/>
        <family val="0"/>
        <charset val="1"/>
      </rPr>
      <t xml:space="preserve">G</t>
    </r>
    <r>
      <rPr>
        <sz val="10"/>
        <rFont val="WenQuanYi Zen Hei"/>
        <family val="2"/>
      </rPr>
      <t xml:space="preserve">ハウスで成果が出た</t>
    </r>
    <r>
      <rPr>
        <sz val="10"/>
        <rFont val="Arial"/>
        <family val="0"/>
        <charset val="1"/>
      </rPr>
      <t xml:space="preserve">Web</t>
    </r>
    <r>
      <rPr>
        <sz val="10"/>
        <rFont val="WenQuanYi Zen Hei"/>
        <family val="2"/>
      </rPr>
      <t xml:space="preserve">集客の型を、エリアにそのまま展開します。開始</t>
    </r>
    <r>
      <rPr>
        <sz val="10"/>
        <rFont val="Arial"/>
        <family val="0"/>
        <charset val="1"/>
      </rPr>
      <t xml:space="preserve">2</t>
    </r>
    <r>
      <rPr>
        <sz val="10"/>
        <rFont val="WenQuanYi Zen Hei"/>
        <family val="2"/>
      </rPr>
      <t xml:space="preserve">ヶ月で問い合わせ</t>
    </r>
    <r>
      <rPr>
        <sz val="10"/>
        <rFont val="Arial"/>
        <family val="0"/>
        <charset val="1"/>
      </rPr>
      <t xml:space="preserve">300</t>
    </r>
    <r>
      <rPr>
        <sz val="10"/>
        <rFont val="WenQuanYi Zen Hei"/>
        <family val="2"/>
      </rPr>
      <t xml:space="preserve">件以上です」</t>
    </r>
  </si>
  <si>
    <t xml:space="preserve">高性能住宅を作りたい工務店</t>
  </si>
  <si>
    <r>
      <rPr>
        <sz val="10"/>
        <rFont val="WenQuanYi Zen Hei"/>
        <family val="2"/>
      </rPr>
      <t xml:space="preserve">「等級</t>
    </r>
    <r>
      <rPr>
        <sz val="10"/>
        <rFont val="Arial"/>
        <family val="0"/>
        <charset val="1"/>
      </rPr>
      <t xml:space="preserve">3</t>
    </r>
    <r>
      <rPr>
        <sz val="10"/>
        <rFont val="WenQuanYi Zen Hei"/>
        <family val="2"/>
      </rPr>
      <t xml:space="preserve">・断熱等級</t>
    </r>
    <r>
      <rPr>
        <sz val="10"/>
        <rFont val="Arial"/>
        <family val="0"/>
        <charset val="1"/>
      </rPr>
      <t xml:space="preserve">6</t>
    </r>
    <r>
      <rPr>
        <sz val="10"/>
        <rFont val="WenQuanYi Zen Hei"/>
        <family val="2"/>
      </rPr>
      <t xml:space="preserve">・</t>
    </r>
    <r>
      <rPr>
        <sz val="10"/>
        <rFont val="Arial"/>
        <family val="0"/>
        <charset val="1"/>
      </rPr>
      <t xml:space="preserve">C</t>
    </r>
    <r>
      <rPr>
        <sz val="10"/>
        <rFont val="WenQuanYi Zen Hei"/>
        <family val="2"/>
      </rPr>
      <t xml:space="preserve">値</t>
    </r>
    <r>
      <rPr>
        <sz val="10"/>
        <rFont val="Arial"/>
        <family val="0"/>
        <charset val="1"/>
      </rPr>
      <t xml:space="preserve">0.24</t>
    </r>
    <r>
      <rPr>
        <sz val="10"/>
        <rFont val="WenQuanYi Zen Hei"/>
        <family val="2"/>
      </rPr>
      <t xml:space="preserve">・太陽光標準の仕様を、規格化した価格で出せます」</t>
    </r>
  </si>
  <si>
    <t xml:space="preserve">石川県（能登復興）</t>
  </si>
  <si>
    <r>
      <rPr>
        <sz val="10"/>
        <rFont val="WenQuanYi Zen Hei"/>
        <family val="2"/>
      </rPr>
      <t xml:space="preserve">「耐震等級</t>
    </r>
    <r>
      <rPr>
        <sz val="10"/>
        <rFont val="Arial"/>
        <family val="0"/>
        <charset val="1"/>
      </rPr>
      <t xml:space="preserve">3</t>
    </r>
    <r>
      <rPr>
        <sz val="10"/>
        <rFont val="WenQuanYi Zen Hei"/>
        <family val="2"/>
      </rPr>
      <t xml:space="preserve">＋制振の規格住宅なら、再建需要に短い工期・明確な価格で応えられます」</t>
    </r>
  </si>
  <si>
    <t xml:space="preserve">■ 出典</t>
  </si>
  <si>
    <t xml:space="preserve">PR TIMES</t>
  </si>
  <si>
    <t xml:space="preserve">https://prtimes.jp/main/html/rd/p/000000060.000159579.html</t>
  </si>
  <si>
    <t xml:space="preserve">https://prtimes.jp/main/html/rd/p/000000053.000159579.html</t>
  </si>
  <si>
    <t xml:space="preserve">公式</t>
  </si>
  <si>
    <t xml:space="preserve">https://lifex-house.jp/</t>
  </si>
  <si>
    <t xml:space="preserve">地域</t>
  </si>
  <si>
    <r>
      <rPr>
        <b val="true"/>
        <sz val="10"/>
        <color rgb="FFFFFFFF"/>
        <rFont val="WenQuanYi Zen Hei"/>
        <family val="2"/>
      </rPr>
      <t xml:space="preserve">社名（</t>
    </r>
    <r>
      <rPr>
        <b val="true"/>
        <sz val="10"/>
        <color rgb="FFFFFFFF"/>
        <rFont val="Arial"/>
        <family val="0"/>
        <charset val="1"/>
      </rPr>
      <t xml:space="preserve">LIFE X</t>
    </r>
    <r>
      <rPr>
        <b val="true"/>
        <sz val="10"/>
        <color rgb="FFFFFFFF"/>
        <rFont val="WenQuanYi Zen Hei"/>
        <family val="2"/>
      </rPr>
      <t xml:space="preserve">加盟済み）</t>
    </r>
  </si>
  <si>
    <t xml:space="preserve">東北</t>
  </si>
  <si>
    <t xml:space="preserve">岩手県</t>
  </si>
  <si>
    <t xml:space="preserve">シリウス</t>
  </si>
  <si>
    <t xml:space="preserve">福島県</t>
  </si>
  <si>
    <t xml:space="preserve">スピークス</t>
  </si>
  <si>
    <t xml:space="preserve">関東</t>
  </si>
  <si>
    <t xml:space="preserve">栃木県</t>
  </si>
  <si>
    <t xml:space="preserve">Life&amp;Design</t>
  </si>
  <si>
    <t xml:space="preserve">埼玉県・東京都</t>
  </si>
  <si>
    <t xml:space="preserve">YUNO HOME</t>
  </si>
  <si>
    <t xml:space="preserve">中部</t>
  </si>
  <si>
    <t xml:space="preserve">新潟県</t>
  </si>
  <si>
    <t xml:space="preserve">ダイケンアーキテクツ／大建建設</t>
  </si>
  <si>
    <t xml:space="preserve">近畿</t>
  </si>
  <si>
    <t xml:space="preserve">奈良県</t>
  </si>
  <si>
    <t xml:space="preserve">竹村工務店</t>
  </si>
  <si>
    <t xml:space="preserve">キノシタ</t>
  </si>
  <si>
    <t xml:space="preserve">大阪府</t>
  </si>
  <si>
    <t xml:space="preserve">いえプロ不動産</t>
  </si>
  <si>
    <t xml:space="preserve">中国</t>
  </si>
  <si>
    <t xml:space="preserve">島根県・鳥取県</t>
  </si>
  <si>
    <t xml:space="preserve">中央建設</t>
  </si>
  <si>
    <t xml:space="preserve">広島県</t>
  </si>
  <si>
    <t xml:space="preserve">坂本建設工業</t>
  </si>
  <si>
    <r>
      <rPr>
        <sz val="10"/>
        <rFont val="WenQuanYi Zen Hei"/>
        <family val="2"/>
      </rPr>
      <t xml:space="preserve">フラワーホーム／</t>
    </r>
    <r>
      <rPr>
        <sz val="10"/>
        <rFont val="Arial"/>
        <family val="0"/>
        <charset val="1"/>
      </rPr>
      <t xml:space="preserve">BJC</t>
    </r>
  </si>
  <si>
    <t xml:space="preserve">九州</t>
  </si>
  <si>
    <t xml:space="preserve">福岡県</t>
  </si>
  <si>
    <t xml:space="preserve">久留米建設</t>
  </si>
  <si>
    <t xml:space="preserve">WITHDOM Group</t>
  </si>
  <si>
    <t xml:space="preserve">不明</t>
  </si>
  <si>
    <t xml:space="preserve">未確認</t>
  </si>
  <si>
    <t xml:space="preserve">建匠</t>
  </si>
  <si>
    <r>
      <rPr>
        <sz val="9"/>
        <color rgb="FF595959"/>
        <rFont val="WenQuanYi Zen Hei"/>
        <family val="2"/>
      </rPr>
      <t xml:space="preserve">出典：</t>
    </r>
    <r>
      <rPr>
        <sz val="9"/>
        <color rgb="FF595959"/>
        <rFont val="Arial"/>
        <family val="0"/>
        <charset val="1"/>
      </rPr>
      <t xml:space="preserve">lifex-house.jp/partner/</t>
    </r>
    <r>
      <rPr>
        <sz val="9"/>
        <color rgb="FF595959"/>
        <rFont val="WenQuanYi Zen Hei"/>
        <family val="2"/>
      </rPr>
      <t xml:space="preserve">（検索結果の内容から作成。最新の一覧は公式ページで確認してください）</t>
    </r>
  </si>
</sst>
</file>

<file path=xl/styles.xml><?xml version="1.0" encoding="utf-8"?>
<styleSheet xmlns="http://schemas.openxmlformats.org/spreadsheetml/2006/main">
  <numFmts count="3">
    <numFmt numFmtId="164" formatCode="General"/>
    <numFmt numFmtId="165" formatCode="yyyy/mm/dd"/>
    <numFmt numFmtId="166" formatCode="General"/>
  </numFmts>
  <fonts count="18">
    <font>
      <sz val="11"/>
      <color theme="1"/>
      <name val="Calibri"/>
      <family val="2"/>
      <charset val="1"/>
    </font>
    <font>
      <sz val="10"/>
      <name val="Arial"/>
      <family val="0"/>
    </font>
    <font>
      <sz val="10"/>
      <name val="Arial"/>
      <family val="0"/>
    </font>
    <font>
      <sz val="10"/>
      <name val="Arial"/>
      <family val="0"/>
    </font>
    <font>
      <b val="true"/>
      <sz val="11"/>
      <name val="WenQuanYi Zen Hei"/>
      <family val="2"/>
    </font>
    <font>
      <sz val="10"/>
      <name val="Arial"/>
      <family val="0"/>
      <charset val="1"/>
    </font>
    <font>
      <sz val="10"/>
      <name val="WenQuanYi Zen Hei"/>
      <family val="2"/>
    </font>
    <font>
      <b val="true"/>
      <sz val="10"/>
      <color rgb="FFFFFFFF"/>
      <name val="Arial"/>
      <family val="0"/>
      <charset val="1"/>
    </font>
    <font>
      <b val="true"/>
      <sz val="10"/>
      <color rgb="FFFFFFFF"/>
      <name val="WenQuanYi Zen Hei"/>
      <family val="2"/>
    </font>
    <font>
      <u val="single"/>
      <sz val="10"/>
      <color rgb="FF0563C1"/>
      <name val="Arial"/>
      <family val="0"/>
      <charset val="1"/>
    </font>
    <font>
      <b val="true"/>
      <sz val="14"/>
      <name val="Arial"/>
      <family val="0"/>
      <charset val="1"/>
    </font>
    <font>
      <b val="true"/>
      <sz val="14"/>
      <name val="WenQuanYi Zen Hei"/>
      <family val="2"/>
    </font>
    <font>
      <sz val="9"/>
      <color rgb="FF595959"/>
      <name val="WenQuanYi Zen Hei"/>
      <family val="2"/>
    </font>
    <font>
      <b val="true"/>
      <sz val="10"/>
      <name val="WenQuanYi Zen Hei"/>
      <family val="2"/>
    </font>
    <font>
      <b val="true"/>
      <sz val="10"/>
      <name val="Arial"/>
      <family val="0"/>
      <charset val="1"/>
    </font>
    <font>
      <b val="true"/>
      <sz val="11"/>
      <color rgb="FF1F3864"/>
      <name val="Arial"/>
      <family val="0"/>
      <charset val="1"/>
    </font>
    <font>
      <b val="true"/>
      <sz val="11"/>
      <color rgb="FF1F3864"/>
      <name val="WenQuanYi Zen Hei"/>
      <family val="2"/>
    </font>
    <font>
      <sz val="9"/>
      <color rgb="FF595959"/>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7F6000"/>
        <bgColor rgb="FF595959"/>
      </patternFill>
    </fill>
    <fill>
      <patternFill patternType="solid">
        <fgColor rgb="FFFFF2CC"/>
        <bgColor rgb="FFE7E6E6"/>
      </patternFill>
    </fill>
    <fill>
      <patternFill patternType="solid">
        <fgColor rgb="FFD9E1F2"/>
        <bgColor rgb="FFE7E6E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5" fontId="5" fillId="4"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xf numFmtId="166" fontId="14" fillId="5"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7E6E6"/>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C00000"/>
          <bgColor rgb="FF000000"/>
        </patternFill>
      </fill>
    </dxf>
    <dxf>
      <fill>
        <patternFill patternType="solid">
          <fgColor rgb="FF0563C1"/>
          <bgColor rgb="FF000000"/>
        </patternFill>
      </fill>
    </dxf>
    <dxf>
      <fill>
        <patternFill patternType="solid">
          <fgColor rgb="FF7F6000"/>
          <bgColor rgb="FF000000"/>
        </patternFill>
      </fill>
    </dxf>
    <dxf>
      <fill>
        <patternFill patternType="solid">
          <fgColor rgb="FFFFF2CC"/>
          <bgColor rgb="FF000000"/>
        </patternFill>
      </fill>
    </dxf>
    <dxf>
      <font>
        <name val="Arial"/>
        <charset val="1"/>
        <family val="0"/>
        <b val="1"/>
        <color rgb="FFC00000"/>
      </font>
      <fill>
        <patternFill>
          <bgColor rgb="FFF8CBAD"/>
        </patternFill>
      </fill>
    </dxf>
    <dxf>
      <fill>
        <patternFill>
          <bgColor rgb="FFFFE699"/>
        </patternFill>
      </fill>
    </dxf>
    <dxf>
      <fill>
        <patternFill>
          <bgColor rgb="FFE7E6E6"/>
        </patternFill>
      </fill>
    </dxf>
    <dxf>
      <fill>
        <patternFill>
          <bgColor rgb="FFC6EFCE"/>
        </patternFill>
      </fill>
    </dxf>
    <dxf>
      <font>
        <name val="Arial"/>
        <charset val="1"/>
        <family val="0"/>
        <color rgb="FFA6A6A6"/>
      </font>
    </dxf>
    <dxf>
      <fill>
        <patternFill>
          <bgColor rgb="FFFF999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E7E6E6"/>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99"/>
      <rgbColor rgb="FFCC99FF"/>
      <rgbColor rgb="FFF8CBAD"/>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tsukulink.net/kanagawa/city_142123/764560" TargetMode="External"/><Relationship Id="rId3" Type="http://schemas.openxmlformats.org/officeDocument/2006/relationships/hyperlink" Target="https://salesnow.jp/db/companies/jcbpca0vj3wg63wd%20;%20https://crexgroup.com/ja/home-building/region/sagamihara-construction-company-list/" TargetMode="External"/><Relationship Id="rId4" Type="http://schemas.openxmlformats.org/officeDocument/2006/relationships/hyperlink" Target="https://www.daikatsu.plus/" TargetMode="External"/><Relationship Id="rId5" Type="http://schemas.openxmlformats.org/officeDocument/2006/relationships/hyperlink" Target="https://realestate.yahoo.co.jp/company/used/bc00023294/%20;%20https://www.daikatsu.plus/" TargetMode="External"/><Relationship Id="rId6" Type="http://schemas.openxmlformats.org/officeDocument/2006/relationships/hyperlink" Target="https://compalyze.co.jp/company/6021001036109%20;%20https://www.e-mansion.co.jp/bbs/thread/11219/" TargetMode="External"/><Relationship Id="rId7" Type="http://schemas.openxmlformats.org/officeDocument/2006/relationships/hyperlink" Target="https://www.biz.ne.jp/company/daiei1101/" TargetMode="External"/><Relationship Id="rId8" Type="http://schemas.openxmlformats.org/officeDocument/2006/relationships/hyperlink" Target="http://www.kagatuma.co.jp/" TargetMode="External"/><Relationship Id="rId9" Type="http://schemas.openxmlformats.org/officeDocument/2006/relationships/hyperlink" Target="https://www.biz.ne.jp/corporation/26676/%20;%20https://salesnow.jp/db/companies/jcbpyxufanr08sdk" TargetMode="External"/><Relationship Id="rId10" Type="http://schemas.openxmlformats.org/officeDocument/2006/relationships/hyperlink" Target="https://www.sankihome.co.jp/" TargetMode="External"/><Relationship Id="rId11" Type="http://schemas.openxmlformats.org/officeDocument/2006/relationships/hyperlink" Target="https://www.city.fujisawa.kanagawa.jp/documents/33414/r5jisseki_sankihome.pdf%20;%20https://www.sankihome.co.jp/" TargetMode="External"/><Relationship Id="rId12" Type="http://schemas.openxmlformats.org/officeDocument/2006/relationships/hyperlink" Target="https://www.e-mansion.co.jp/bbs/thread/11729/%20;%20https://compalyze.co.jp/company/8021002003659" TargetMode="External"/><Relationship Id="rId13" Type="http://schemas.openxmlformats.org/officeDocument/2006/relationships/hyperlink" Target="https://www.ishihara396.com/" TargetMode="External"/><Relationship Id="rId14" Type="http://schemas.openxmlformats.org/officeDocument/2006/relationships/hyperlink" Target="https://www.ishihara396.com/useful/3253/" TargetMode="External"/><Relationship Id="rId15" Type="http://schemas.openxmlformats.org/officeDocument/2006/relationships/hyperlink" Target="https://local-time.jp/shonan-komuten/" TargetMode="External"/><Relationship Id="rId16" Type="http://schemas.openxmlformats.org/officeDocument/2006/relationships/hyperlink" Target="https://www.e-mansion.co.jp/bbs/thread/10070/" TargetMode="External"/><Relationship Id="rId17" Type="http://schemas.openxmlformats.org/officeDocument/2006/relationships/hyperlink" Target="https://compalyze.co.jp/company/4021001034816" TargetMode="External"/><Relationship Id="rId18" Type="http://schemas.openxmlformats.org/officeDocument/2006/relationships/hyperlink" Target="https://www.seikatsu-guide.com/info/14/14206/7/" TargetMode="External"/><Relationship Id="rId19" Type="http://schemas.openxmlformats.org/officeDocument/2006/relationships/hyperlink" Target="https://crexgroup.com/ja/home-building/region/kawasaki-city-construction-company-ranking-selection/" TargetMode="External"/><Relationship Id="rId20" Type="http://schemas.openxmlformats.org/officeDocument/2006/relationships/hyperlink" Target="https://itp.ne.jp/zenkoku/kanagawa/yokohamashi-kanagawaku/sammaichiyo/146465800200000899" TargetMode="External"/><Relationship Id="rId21" Type="http://schemas.openxmlformats.org/officeDocument/2006/relationships/hyperlink" Target="https://crexgroup.com/ja/home-building/region/sagamihara-construction-company-list/" TargetMode="External"/><Relationship Id="rId22" Type="http://schemas.openxmlformats.org/officeDocument/2006/relationships/hyperlink" Target="https://www.e-mansion.co.jp/bbs/thread/673787/" TargetMode="External"/><Relationship Id="rId23" Type="http://schemas.openxmlformats.org/officeDocument/2006/relationships/hyperlink" Target="https://compalyze.co.jp/company/7011501006180%20;%20https://news.mynavi.jp/real-estate-assessment/73482" TargetMode="External"/><Relationship Id="rId24" Type="http://schemas.openxmlformats.org/officeDocument/2006/relationships/hyperlink" Target="https://www.daishu.co.jp/" TargetMode="External"/><Relationship Id="rId25" Type="http://schemas.openxmlformats.org/officeDocument/2006/relationships/hyperlink" Target="https://www.daishu.co.jp/workarea/&#33337;&#27211;&#24066;/" TargetMode="External"/><Relationship Id="rId26" Type="http://schemas.openxmlformats.org/officeDocument/2006/relationships/hyperlink" Target="https://www.welcome-home.jp/" TargetMode="External"/><Relationship Id="rId27" Type="http://schemas.openxmlformats.org/officeDocument/2006/relationships/hyperlink" Target="https://www.welcome-home.jp/funabasi/" TargetMode="External"/><Relationship Id="rId28" Type="http://schemas.openxmlformats.org/officeDocument/2006/relationships/hyperlink" Target="https://akitekt.net/koumutenmatome-1-27/" TargetMode="External"/><Relationship Id="rId29" Type="http://schemas.openxmlformats.org/officeDocument/2006/relationships/hyperlink" Target="https://news.mynavi.jp/real-estate-assessment/73482" TargetMode="External"/><Relationship Id="rId30" Type="http://schemas.openxmlformats.org/officeDocument/2006/relationships/hyperlink" Target="https://news.mynavi.jp/real-estate-assessment/73482" TargetMode="External"/><Relationship Id="rId31" Type="http://schemas.openxmlformats.org/officeDocument/2006/relationships/hyperlink" Target="https://en-ambi.com/job/j-5351318/" TargetMode="External"/><Relationship Id="rId32" Type="http://schemas.openxmlformats.org/officeDocument/2006/relationships/hyperlink" Target="https://www.value-press.com/pressrelease/159201%20;%20https://www.biz.ne.jp/company/manahome/" TargetMode="External"/><Relationship Id="rId33" Type="http://schemas.openxmlformats.org/officeDocument/2006/relationships/hyperlink" Target="https://tsukulink.net/chiba/city_121011/254263" TargetMode="External"/><Relationship Id="rId34" Type="http://schemas.openxmlformats.org/officeDocument/2006/relationships/hyperlink" Target="https://funabashi.mypl.net/article/kurashi_funabashi/86372%20;%20https://honma-ltd.jp/media/chibakenn/" TargetMode="External"/><Relationship Id="rId35" Type="http://schemas.openxmlformats.org/officeDocument/2006/relationships/hyperlink" Target="https://www.kyowa-housing.co.jp/" TargetMode="External"/><Relationship Id="rId36" Type="http://schemas.openxmlformats.org/officeDocument/2006/relationships/hyperlink" Target="https://www.kyowa-housing.co.jp/" TargetMode="External"/><Relationship Id="rId37" Type="http://schemas.openxmlformats.org/officeDocument/2006/relationships/hyperlink" Target="https://www.houzz.jp/professionals/general-contractor/&#20304;&#20489;&#24066;-04-jp-probr0-bo~t_16120~r_2111215" TargetMode="External"/><Relationship Id="rId38" Type="http://schemas.openxmlformats.org/officeDocument/2006/relationships/hyperlink" Target="https://akitekt.net/koumutenmatome-1-27/" TargetMode="External"/><Relationship Id="rId39" Type="http://schemas.openxmlformats.org/officeDocument/2006/relationships/hyperlink" Target="https://doda.jp/DodaFront/View/CompanyJobs/j_id__10005586452/" TargetMode="External"/><Relationship Id="rId40" Type="http://schemas.openxmlformats.org/officeDocument/2006/relationships/hyperlink" Target="https://crexgroup.com/ja/home-building/region/kashiwa-city-builder-ranking/" TargetMode="External"/><Relationship Id="rId41" Type="http://schemas.openxmlformats.org/officeDocument/2006/relationships/hyperlink" Target="https://www.biz.ne.jp/corporation/29241/" TargetMode="External"/><Relationship Id="rId42" Type="http://schemas.openxmlformats.org/officeDocument/2006/relationships/hyperlink" Target="https://funabashi.mypl.net/article/kurashi_funabashi/86372" TargetMode="External"/><Relationship Id="rId43" Type="http://schemas.openxmlformats.org/officeDocument/2006/relationships/hyperlink" Target="https://funabashi.mypl.net/article/kurashi_funabashi/86372" TargetMode="External"/><Relationship Id="rId44" Type="http://schemas.openxmlformats.org/officeDocument/2006/relationships/hyperlink" Target="https://compalyze.co.jp/company/4080402018059" TargetMode="External"/><Relationship Id="rId45" Type="http://schemas.openxmlformats.org/officeDocument/2006/relationships/hyperlink" Target="https://en-gage.net/serikosaiyo_saiyo/work_17700223/" TargetMode="External"/><Relationship Id="rId46" Type="http://schemas.openxmlformats.org/officeDocument/2006/relationships/hyperlink" Target="https://www.e-mansion.co.jp/bbs/thread/212986/" TargetMode="External"/><Relationship Id="rId47" Type="http://schemas.openxmlformats.org/officeDocument/2006/relationships/hyperlink" Target="https://compalyze.co.jp/company/2080101011812" TargetMode="External"/><Relationship Id="rId48" Type="http://schemas.openxmlformats.org/officeDocument/2006/relationships/hyperlink" Target="https://compalyze.co.jp/company/9080102016036" TargetMode="External"/><Relationship Id="rId49" Type="http://schemas.openxmlformats.org/officeDocument/2006/relationships/hyperlink" Target="https://ecofield.jp/" TargetMode="External"/><Relationship Id="rId50" Type="http://schemas.openxmlformats.org/officeDocument/2006/relationships/hyperlink" Target="https://www.city.fuji.shizuoka.jp/documents/4226/kentikuissiki_2.pdf" TargetMode="External"/><Relationship Id="rId51" Type="http://schemas.openxmlformats.org/officeDocument/2006/relationships/hyperlink" Target="https://www.city.fuji.shizuoka.jp/documents/16146/2-2_fujiokuzai.pdf" TargetMode="External"/><Relationship Id="rId52" Type="http://schemas.openxmlformats.org/officeDocument/2006/relationships/hyperlink" Target="https://haradakomuten.com/index.html" TargetMode="External"/><Relationship Id="rId53" Type="http://schemas.openxmlformats.org/officeDocument/2006/relationships/hyperlink" Target="https://www.e-mansion.co.jp/bbs/thread/77347/" TargetMode="External"/><Relationship Id="rId54" Type="http://schemas.openxmlformats.org/officeDocument/2006/relationships/hyperlink" Target="https://zero-fujita.com/" TargetMode="External"/><Relationship Id="rId55" Type="http://schemas.openxmlformats.org/officeDocument/2006/relationships/hyperlink" Target="https://compalyze.co.jp/company/7080101000141" TargetMode="External"/><Relationship Id="rId56" Type="http://schemas.openxmlformats.org/officeDocument/2006/relationships/hyperlink" Target="https://www.revic.co.jp/pdf/news/2018/180329newsrelease.pdf" TargetMode="External"/><Relationship Id="rId57" Type="http://schemas.openxmlformats.org/officeDocument/2006/relationships/hyperlink" Target="https://compalyze.co.jp/company/4080401013011" TargetMode="External"/><Relationship Id="rId58" Type="http://schemas.openxmlformats.org/officeDocument/2006/relationships/hyperlink" Target="https://compalyze.co.jp/company/2080401006396" TargetMode="External"/><Relationship Id="rId59" Type="http://schemas.openxmlformats.org/officeDocument/2006/relationships/hyperlink" Target="https://compalyze.co.jp/company/4080401011056" TargetMode="External"/><Relationship Id="rId60" Type="http://schemas.openxmlformats.org/officeDocument/2006/relationships/hyperlink" Target="https://compalyze.co.jp/company/3080401003509" TargetMode="External"/><Relationship Id="rId61" Type="http://schemas.openxmlformats.org/officeDocument/2006/relationships/hyperlink" Target="https://mynavi-agent.jp/corpdetail/30451/" TargetMode="External"/><Relationship Id="rId62" Type="http://schemas.openxmlformats.org/officeDocument/2006/relationships/hyperlink" Target="https://compalyze.co.jp/company/4080401013011" TargetMode="External"/><Relationship Id="rId63" Type="http://schemas.openxmlformats.org/officeDocument/2006/relationships/hyperlink" Target="https://www.r-agent.com/company/a9425/" TargetMode="External"/><Relationship Id="rId64" Type="http://schemas.openxmlformats.org/officeDocument/2006/relationships/hyperlink" Target="https://ouchi-keikaku.heteml.net/cyumonjyutaku-osusume-shizuoka/" TargetMode="External"/><Relationship Id="rId65" Type="http://schemas.openxmlformats.org/officeDocument/2006/relationships/hyperlink" Target="https://fukukobo-shizuoka.net/" TargetMode="External"/><Relationship Id="rId66" Type="http://schemas.openxmlformats.org/officeDocument/2006/relationships/hyperlink" Target="https://job.mynavi.jp/27/pc/search/corp201435/outline.html" TargetMode="External"/><Relationship Id="rId67" Type="http://schemas.openxmlformats.org/officeDocument/2006/relationships/hyperlink" Target="https://life-designs.jp/webmagazine/housing-ichinomiya/" TargetMode="External"/><Relationship Id="rId68" Type="http://schemas.openxmlformats.org/officeDocument/2006/relationships/hyperlink" Target="https://life-designs.jp/webmagazine/housing-kasugai/" TargetMode="External"/><Relationship Id="rId69" Type="http://schemas.openxmlformats.org/officeDocument/2006/relationships/hyperlink" Target="https://news.mynavi.jp/real-estate-assessment/74057" TargetMode="External"/><Relationship Id="rId70" Type="http://schemas.openxmlformats.org/officeDocument/2006/relationships/hyperlink" Target="https://base-on.com/media/aichi-komaki-city/" TargetMode="External"/><Relationship Id="rId71" Type="http://schemas.openxmlformats.org/officeDocument/2006/relationships/hyperlink" Target="https://sevenhouse.jp/" TargetMode="External"/><Relationship Id="rId72" Type="http://schemas.openxmlformats.org/officeDocument/2006/relationships/hyperlink" Target="https://sevenhouse.jp/" TargetMode="External"/><Relationship Id="rId73" Type="http://schemas.openxmlformats.org/officeDocument/2006/relationships/hyperlink" Target="https://life-designs.jp/webmagazine/housing-kasugai/" TargetMode="External"/><Relationship Id="rId74" Type="http://schemas.openxmlformats.org/officeDocument/2006/relationships/hyperlink" Target="https://www.likehome-masters.com/" TargetMode="External"/><Relationship Id="rId75" Type="http://schemas.openxmlformats.org/officeDocument/2006/relationships/hyperlink" Target="https://life-designs.jp/webmagazine/housing-kasugai/" TargetMode="External"/><Relationship Id="rId76" Type="http://schemas.openxmlformats.org/officeDocument/2006/relationships/hyperlink" Target="https://realestate.news.mynavi.jp/housemaker-ranking/aichi-komuten-osusume" TargetMode="External"/><Relationship Id="rId77" Type="http://schemas.openxmlformats.org/officeDocument/2006/relationships/hyperlink" Target="https://life-designs.jp/webmagazine/housing-kasugai/" TargetMode="External"/><Relationship Id="rId78" Type="http://schemas.openxmlformats.org/officeDocument/2006/relationships/hyperlink" Target="https://news.mynavi.jp/real-estate-assessment/74057" TargetMode="External"/><Relationship Id="rId79" Type="http://schemas.openxmlformats.org/officeDocument/2006/relationships/hyperlink" Target="https://www.sumailab.net/P23/A6/rankings/135/okazaki/" TargetMode="External"/><Relationship Id="rId80" Type="http://schemas.openxmlformats.org/officeDocument/2006/relationships/hyperlink" Target="https://www.sumailab.net/P23/A6/rankings/134/toyohashi/" TargetMode="External"/><Relationship Id="rId81" Type="http://schemas.openxmlformats.org/officeDocument/2006/relationships/hyperlink" Target="https://www.sumailab.net/P23/A6/rankings/134/toyohashi/" TargetMode="External"/><Relationship Id="rId82" Type="http://schemas.openxmlformats.org/officeDocument/2006/relationships/hyperlink" Target="https://www.sumailab.net/P23/A6/rankings/134/toyohashi/" TargetMode="External"/><Relationship Id="rId83" Type="http://schemas.openxmlformats.org/officeDocument/2006/relationships/hyperlink" Target="https://www.sumailab.net/P23/A6/rankings/139/toyota/" TargetMode="External"/><Relationship Id="rId84" Type="http://schemas.openxmlformats.org/officeDocument/2006/relationships/hyperlink" Target="https://life-designs.jp/webmagazine/housing-ichinomiya/" TargetMode="External"/><Relationship Id="rId85" Type="http://schemas.openxmlformats.org/officeDocument/2006/relationships/hyperlink" Target="https://www.cityhouse.jp/" TargetMode="External"/><Relationship Id="rId86" Type="http://schemas.openxmlformats.org/officeDocument/2006/relationships/hyperlink" Target="https://www.cityhouse.jp/" TargetMode="External"/><Relationship Id="rId87" Type="http://schemas.openxmlformats.org/officeDocument/2006/relationships/hyperlink" Target="https://itp.ne.jp/zenkoku/ishikawa/hakusanshi/narimachi/171304837300000899" TargetMode="External"/><Relationship Id="rId88" Type="http://schemas.openxmlformats.org/officeDocument/2006/relationships/hyperlink" Target="https://www.kitadekenchiku.jp/" TargetMode="External"/><Relationship Id="rId89" Type="http://schemas.openxmlformats.org/officeDocument/2006/relationships/hyperlink" Target="https://www.kitadekenchiku.jp/" TargetMode="External"/><Relationship Id="rId90" Type="http://schemas.openxmlformats.org/officeDocument/2006/relationships/hyperlink" Target="https://daikokukensetsu.co.jp/" TargetMode="External"/><Relationship Id="rId91" Type="http://schemas.openxmlformats.org/officeDocument/2006/relationships/hyperlink" Target="https://daikokukensetsu.co.jp/" TargetMode="External"/><Relationship Id="rId92" Type="http://schemas.openxmlformats.org/officeDocument/2006/relationships/hyperlink" Target="https://ing-archi.com/" TargetMode="External"/><Relationship Id="rId93" Type="http://schemas.openxmlformats.org/officeDocument/2006/relationships/hyperlink" Target="https://ing-archi.com/" TargetMode="External"/><Relationship Id="rId94" Type="http://schemas.openxmlformats.org/officeDocument/2006/relationships/hyperlink" Target="https://www.bizreach.jp/job/view/3633864/" TargetMode="External"/><Relationship Id="rId95" Type="http://schemas.openxmlformats.org/officeDocument/2006/relationships/hyperlink" Target="https://www.uruoino-ie.jp/" TargetMode="External"/><Relationship Id="rId96" Type="http://schemas.openxmlformats.org/officeDocument/2006/relationships/hyperlink" Target="https://www.uruoino-ie.jp/" TargetMode="External"/><Relationship Id="rId97" Type="http://schemas.openxmlformats.org/officeDocument/2006/relationships/hyperlink" Target="https://takumi-build.co.jp/" TargetMode="External"/><Relationship Id="rId98" Type="http://schemas.openxmlformats.org/officeDocument/2006/relationships/hyperlink" Target="https://takumi-build.co.jp/" TargetMode="External"/><Relationship Id="rId99" Type="http://schemas.openxmlformats.org/officeDocument/2006/relationships/hyperlink" Target="https://hashi-koumuten.com/" TargetMode="External"/><Relationship Id="rId100" Type="http://schemas.openxmlformats.org/officeDocument/2006/relationships/hyperlink" Target="https://hashi-koumuten.com/" TargetMode="External"/><Relationship Id="rId101" Type="http://schemas.openxmlformats.org/officeDocument/2006/relationships/hyperlink" Target="https://mynavi-agent.jp/corpdetail/30024/" TargetMode="External"/><Relationship Id="rId102" Type="http://schemas.openxmlformats.org/officeDocument/2006/relationships/hyperlink" Target="https://hrmos.co/pages/ishitomo-recruit/jobs/2244697317863440384" TargetMode="External"/><Relationship Id="rId103" Type="http://schemas.openxmlformats.org/officeDocument/2006/relationships/hyperlink" Target="https://auka.jp/media/housemaker/housemaker-ishikawa/housemaker-isikawa-kanazawa" TargetMode="External"/><Relationship Id="rId104" Type="http://schemas.openxmlformats.org/officeDocument/2006/relationships/hyperlink" Target="https://www.kunimikoumuten.com/" TargetMode="External"/><Relationship Id="rId105" Type="http://schemas.openxmlformats.org/officeDocument/2006/relationships/hyperlink" Target="https://www.kunimikoumuten.com/" TargetMode="External"/><Relationship Id="rId106" Type="http://schemas.openxmlformats.org/officeDocument/2006/relationships/hyperlink" Target="https://toushi.homes.co.jp/bukkeninform/4615965/" TargetMode="External"/><Relationship Id="rId107" Type="http://schemas.openxmlformats.org/officeDocument/2006/relationships/hyperlink" Target="https://job.mynavi.jp/27/pc/search/corp98557/outline.html" TargetMode="External"/><Relationship Id="rId108" Type="http://schemas.openxmlformats.org/officeDocument/2006/relationships/hyperlink" Target="https://www.houzz.jp/professionals/general-contractor/c/&#30707;&#24029;&#30476;-&#40575;&#23798;&#37089;&#20013;&#33021;&#30331;&#30010;" TargetMode="External"/><Relationship Id="rId109" Type="http://schemas.openxmlformats.org/officeDocument/2006/relationships/hyperlink" Target="https://www.value-press.com/s/pressrelease/130699" TargetMode="External"/><Relationship Id="rId110" Type="http://schemas.openxmlformats.org/officeDocument/2006/relationships/hyperlink" Target="https://www.kagawakentiku.com/" TargetMode="External"/><Relationship Id="rId111" Type="http://schemas.openxmlformats.org/officeDocument/2006/relationships/hyperlink" Target="https://www.kagawakentiku.com/" TargetMode="External"/><Relationship Id="rId112" Type="http://schemas.openxmlformats.org/officeDocument/2006/relationships/hyperlink" Target="https://www.otsuka-cc.jp/" TargetMode="External"/><Relationship Id="rId113" Type="http://schemas.openxmlformats.org/officeDocument/2006/relationships/hyperlink" Target="https://www.otsuka-cc.jp/" TargetMode="External"/><Relationship Id="rId114" Type="http://schemas.openxmlformats.org/officeDocument/2006/relationships/hyperlink" Target="https://job.mynavi.jp/28/pc/search/corp99482/is.html" TargetMode="External"/><Relationship Id="rId115" Type="http://schemas.openxmlformats.org/officeDocument/2006/relationships/hyperlink" Target="https://compalyze.co.jp/company/6470001011035" TargetMode="External"/><Relationship Id="rId116" Type="http://schemas.openxmlformats.org/officeDocument/2006/relationships/hyperlink" Target="https://www.reox.jp/" TargetMode="External"/><Relationship Id="rId117" Type="http://schemas.openxmlformats.org/officeDocument/2006/relationships/hyperlink" Target="https://panasonic.co.jp/phs/pasd/pb-techno/pb_search/detail.php?area=chugoku_shikoku&amp;pref=kagawa&amp;pb=P0413" TargetMode="External"/><Relationship Id="rId118" Type="http://schemas.openxmlformats.org/officeDocument/2006/relationships/hyperlink" Target="http://www.tsuyama-h.jp/" TargetMode="External"/><Relationship Id="rId119" Type="http://schemas.openxmlformats.org/officeDocument/2006/relationships/hyperlink" Target="http://www.tsuyama-h.jp/" TargetMode="External"/><Relationship Id="rId120" Type="http://schemas.openxmlformats.org/officeDocument/2006/relationships/hyperlink" Target="https://www.k3kyo.co.jp/" TargetMode="External"/><Relationship Id="rId121" Type="http://schemas.openxmlformats.org/officeDocument/2006/relationships/hyperlink" Target="https://www.k3kyo.co.jp/" TargetMode="External"/><Relationship Id="rId122" Type="http://schemas.openxmlformats.org/officeDocument/2006/relationships/hyperlink" Target="https://resemom.jp/release/prtimes/20230913/104104.html" TargetMode="External"/><Relationship Id="rId123" Type="http://schemas.openxmlformats.org/officeDocument/2006/relationships/hyperlink" Target="https://compalyze.co.jp/company/4470001001467" TargetMode="External"/><Relationship Id="rId124" Type="http://schemas.openxmlformats.org/officeDocument/2006/relationships/hyperlink" Target="https://news.ksb.co.jp/article/15416864" TargetMode="External"/><Relationship Id="rId125" Type="http://schemas.openxmlformats.org/officeDocument/2006/relationships/hyperlink" Target="https://mynavi-agent.jp/corpdetail/29948/" TargetMode="External"/><Relationship Id="rId126" Type="http://schemas.openxmlformats.org/officeDocument/2006/relationships/hyperlink" Target="https://job.mynavi.jp/27/pc/search/corp89971/outline.html" TargetMode="External"/><Relationship Id="rId127" Type="http://schemas.openxmlformats.org/officeDocument/2006/relationships/hyperlink" Target="https://www.tuchikame.com/" TargetMode="External"/><Relationship Id="rId128" Type="http://schemas.openxmlformats.org/officeDocument/2006/relationships/hyperlink" Target="https://www.tuchikame.com/" TargetMode="External"/><Relationship Id="rId129" Type="http://schemas.openxmlformats.org/officeDocument/2006/relationships/hyperlink" Target="https://takakenkobo.jp/" TargetMode="External"/><Relationship Id="rId130" Type="http://schemas.openxmlformats.org/officeDocument/2006/relationships/hyperlink" Target="https://takakenkobo.jp/" TargetMode="External"/><Relationship Id="rId131" Type="http://schemas.openxmlformats.org/officeDocument/2006/relationships/hyperlink" Target="https://sakai-koumuten.jp/" TargetMode="External"/><Relationship Id="rId132" Type="http://schemas.openxmlformats.org/officeDocument/2006/relationships/hyperlink" Target="https://sakai-koumuten.jp/" TargetMode="External"/><Relationship Id="rId133" Type="http://schemas.openxmlformats.org/officeDocument/2006/relationships/hyperlink" Target="https://crexgroup.com/ja/home-building/region/takamatsu-home-builder-selection-guide/" TargetMode="External"/><Relationship Id="rId134" Type="http://schemas.openxmlformats.org/officeDocument/2006/relationships/hyperlink" Target="https://resemom.jp/release/prtimes/20250626/148666.html" TargetMode="External"/><Relationship Id="rId135" Type="http://schemas.openxmlformats.org/officeDocument/2006/relationships/drawing" Target="../drawings/drawing1.xml"/><Relationship Id="rId136"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4.15" hidden="false" customHeight="false" outlineLevel="0" collapsed="false">
      <c r="A2" s="2" t="s">
        <v>1</v>
      </c>
    </row>
    <row r="3" customFormat="false" ht="14.15" hidden="false" customHeight="false" outlineLevel="0" collapsed="false">
      <c r="A3" s="2" t="s">
        <v>2</v>
      </c>
    </row>
    <row r="4" customFormat="false" ht="14.15" hidden="false" customHeight="false" outlineLevel="0" collapsed="false">
      <c r="A4" s="2" t="s">
        <v>3</v>
      </c>
    </row>
    <row r="5" customFormat="false" ht="14.15" hidden="false" customHeight="false" outlineLevel="0" collapsed="false">
      <c r="A5" s="2" t="s">
        <v>4</v>
      </c>
    </row>
    <row r="6" customFormat="false" ht="14.15" hidden="false" customHeight="false" outlineLevel="0" collapsed="false">
      <c r="A6" s="2" t="s">
        <v>5</v>
      </c>
    </row>
    <row r="7" customFormat="false" ht="15" hidden="false" customHeight="false" outlineLevel="0" collapsed="false">
      <c r="A7" s="2"/>
    </row>
    <row r="8" customFormat="false" ht="15" hidden="false" customHeight="false" outlineLevel="0" collapsed="false">
      <c r="A8" s="1" t="s">
        <v>6</v>
      </c>
    </row>
    <row r="9" customFormat="false" ht="14.15" hidden="false" customHeight="false" outlineLevel="0" collapsed="false">
      <c r="A9" s="3" t="s">
        <v>7</v>
      </c>
    </row>
    <row r="10" customFormat="false" ht="15" hidden="false" customHeight="false" outlineLevel="0" collapsed="false">
      <c r="A10" s="3" t="s">
        <v>8</v>
      </c>
    </row>
    <row r="11" customFormat="false" ht="14.15" hidden="false" customHeight="false" outlineLevel="0" collapsed="false">
      <c r="A11"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3" min="3" style="0" width="9"/>
    <col collapsed="false" customWidth="true" hidden="false" outlineLevel="0" max="4" min="4" style="0" width="11"/>
    <col collapsed="false" customWidth="true" hidden="false" outlineLevel="0" max="5" min="5" style="0" width="24"/>
    <col collapsed="false" customWidth="true" hidden="false" outlineLevel="0" max="6" min="6" style="0" width="26"/>
    <col collapsed="false" customWidth="true" hidden="false" outlineLevel="0" max="7" min="7" style="0" width="32"/>
    <col collapsed="false" customWidth="true" hidden="false" outlineLevel="0" max="8" min="8" style="0" width="24"/>
    <col collapsed="false" customWidth="true" hidden="false" outlineLevel="0" max="9" min="9" style="0" width="18"/>
    <col collapsed="false" customWidth="true" hidden="false" outlineLevel="0" max="10" min="10" style="0" width="40"/>
    <col collapsed="false" customWidth="true" hidden="false" outlineLevel="0" max="11" min="11" style="0" width="26"/>
    <col collapsed="false" customWidth="true" hidden="false" outlineLevel="0" max="12" min="12" style="0" width="9"/>
    <col collapsed="false" customWidth="true" hidden="false" outlineLevel="0" max="15" min="13" style="0" width="11"/>
    <col collapsed="false" customWidth="true" hidden="false" outlineLevel="0" max="16" min="16" style="0" width="22"/>
    <col collapsed="false" customWidth="true" hidden="false" outlineLevel="0" max="17" min="17" style="0" width="14"/>
    <col collapsed="false" customWidth="true" hidden="false" outlineLevel="0" max="18" min="18" style="0" width="28"/>
  </cols>
  <sheetData>
    <row r="1" customFormat="false" ht="30" hidden="false" customHeight="true" outlineLevel="0" collapsed="false">
      <c r="A1" s="4" t="s">
        <v>10</v>
      </c>
      <c r="B1" s="5" t="s">
        <v>11</v>
      </c>
      <c r="C1" s="5" t="s">
        <v>12</v>
      </c>
      <c r="D1" s="5" t="s">
        <v>13</v>
      </c>
      <c r="E1" s="5" t="s">
        <v>14</v>
      </c>
      <c r="F1" s="5" t="s">
        <v>15</v>
      </c>
      <c r="G1" s="5" t="s">
        <v>16</v>
      </c>
      <c r="H1" s="5" t="s">
        <v>17</v>
      </c>
      <c r="I1" s="5" t="s">
        <v>18</v>
      </c>
      <c r="J1" s="4" t="s">
        <v>19</v>
      </c>
      <c r="K1" s="5" t="s">
        <v>20</v>
      </c>
      <c r="L1" s="6" t="s">
        <v>21</v>
      </c>
      <c r="M1" s="6" t="s">
        <v>22</v>
      </c>
      <c r="N1" s="6" t="s">
        <v>23</v>
      </c>
      <c r="O1" s="6" t="s">
        <v>24</v>
      </c>
      <c r="P1" s="6" t="s">
        <v>25</v>
      </c>
      <c r="Q1" s="6" t="s">
        <v>26</v>
      </c>
      <c r="R1" s="6" t="s">
        <v>27</v>
      </c>
    </row>
    <row r="2" customFormat="false" ht="39.55" hidden="false" customHeight="false" outlineLevel="0" collapsed="false">
      <c r="A2" s="7" t="n">
        <v>1</v>
      </c>
      <c r="B2" s="7" t="s">
        <v>28</v>
      </c>
      <c r="C2" s="8" t="s">
        <v>29</v>
      </c>
      <c r="D2" s="9" t="s">
        <v>30</v>
      </c>
      <c r="E2" s="9" t="s">
        <v>31</v>
      </c>
      <c r="F2" s="9"/>
      <c r="G2" s="9" t="s">
        <v>32</v>
      </c>
      <c r="H2" s="9" t="s">
        <v>33</v>
      </c>
      <c r="I2" s="9"/>
      <c r="J2" s="9" t="s">
        <v>34</v>
      </c>
      <c r="K2" s="10" t="s">
        <v>35</v>
      </c>
      <c r="L2" s="11"/>
      <c r="M2" s="12" t="s">
        <v>36</v>
      </c>
      <c r="N2" s="13"/>
      <c r="O2" s="13"/>
      <c r="P2" s="11"/>
      <c r="Q2" s="11"/>
      <c r="R2" s="11"/>
    </row>
    <row r="3" customFormat="false" ht="52.2" hidden="false" customHeight="false" outlineLevel="0" collapsed="false">
      <c r="A3" s="7" t="n">
        <v>2</v>
      </c>
      <c r="B3" s="7" t="s">
        <v>28</v>
      </c>
      <c r="C3" s="8" t="s">
        <v>29</v>
      </c>
      <c r="D3" s="9" t="s">
        <v>37</v>
      </c>
      <c r="E3" s="9" t="s">
        <v>38</v>
      </c>
      <c r="F3" s="9"/>
      <c r="G3" s="14" t="s">
        <v>39</v>
      </c>
      <c r="H3" s="9" t="s">
        <v>40</v>
      </c>
      <c r="I3" s="9" t="s">
        <v>41</v>
      </c>
      <c r="J3" s="9" t="s">
        <v>42</v>
      </c>
      <c r="K3" s="10" t="s">
        <v>43</v>
      </c>
      <c r="L3" s="11"/>
      <c r="M3" s="12" t="s">
        <v>36</v>
      </c>
      <c r="N3" s="13"/>
      <c r="O3" s="13"/>
      <c r="P3" s="11"/>
      <c r="Q3" s="11"/>
      <c r="R3" s="11"/>
    </row>
    <row r="4" customFormat="false" ht="39.55" hidden="false" customHeight="false" outlineLevel="0" collapsed="false">
      <c r="A4" s="7" t="n">
        <v>3</v>
      </c>
      <c r="B4" s="7" t="s">
        <v>28</v>
      </c>
      <c r="C4" s="8" t="s">
        <v>29</v>
      </c>
      <c r="D4" s="9" t="s">
        <v>44</v>
      </c>
      <c r="E4" s="9" t="s">
        <v>45</v>
      </c>
      <c r="F4" s="10" t="s">
        <v>46</v>
      </c>
      <c r="G4" s="9" t="s">
        <v>47</v>
      </c>
      <c r="H4" s="9" t="s">
        <v>48</v>
      </c>
      <c r="I4" s="14"/>
      <c r="J4" s="9" t="s">
        <v>49</v>
      </c>
      <c r="K4" s="10" t="s">
        <v>50</v>
      </c>
      <c r="L4" s="11"/>
      <c r="M4" s="12" t="s">
        <v>36</v>
      </c>
      <c r="N4" s="13"/>
      <c r="O4" s="13"/>
      <c r="P4" s="11"/>
      <c r="Q4" s="11"/>
      <c r="R4" s="11"/>
    </row>
    <row r="5" customFormat="false" ht="52.2" hidden="false" customHeight="false" outlineLevel="0" collapsed="false">
      <c r="A5" s="7" t="n">
        <v>4</v>
      </c>
      <c r="B5" s="7" t="s">
        <v>51</v>
      </c>
      <c r="C5" s="8" t="s">
        <v>29</v>
      </c>
      <c r="D5" s="9" t="s">
        <v>52</v>
      </c>
      <c r="E5" s="9" t="s">
        <v>53</v>
      </c>
      <c r="F5" s="14"/>
      <c r="G5" s="9" t="s">
        <v>54</v>
      </c>
      <c r="H5" s="14"/>
      <c r="I5" s="14"/>
      <c r="J5" s="9" t="s">
        <v>55</v>
      </c>
      <c r="K5" s="10" t="s">
        <v>56</v>
      </c>
      <c r="L5" s="11"/>
      <c r="M5" s="12" t="s">
        <v>36</v>
      </c>
      <c r="N5" s="13"/>
      <c r="O5" s="13"/>
      <c r="P5" s="11"/>
      <c r="Q5" s="11"/>
      <c r="R5" s="11"/>
    </row>
    <row r="6" customFormat="false" ht="39.55" hidden="false" customHeight="false" outlineLevel="0" collapsed="false">
      <c r="A6" s="7" t="n">
        <v>5</v>
      </c>
      <c r="B6" s="7" t="s">
        <v>51</v>
      </c>
      <c r="C6" s="8" t="s">
        <v>29</v>
      </c>
      <c r="D6" s="9" t="s">
        <v>57</v>
      </c>
      <c r="E6" s="9" t="s">
        <v>58</v>
      </c>
      <c r="F6" s="14"/>
      <c r="G6" s="9" t="s">
        <v>59</v>
      </c>
      <c r="H6" s="14"/>
      <c r="I6" s="14"/>
      <c r="J6" s="9" t="s">
        <v>60</v>
      </c>
      <c r="K6" s="10" t="s">
        <v>61</v>
      </c>
      <c r="L6" s="11"/>
      <c r="M6" s="12" t="s">
        <v>36</v>
      </c>
      <c r="N6" s="13"/>
      <c r="O6" s="13"/>
      <c r="P6" s="11"/>
      <c r="Q6" s="11"/>
      <c r="R6" s="11"/>
    </row>
    <row r="7" customFormat="false" ht="39.55" hidden="false" customHeight="false" outlineLevel="0" collapsed="false">
      <c r="A7" s="7" t="n">
        <v>6</v>
      </c>
      <c r="B7" s="7" t="s">
        <v>51</v>
      </c>
      <c r="C7" s="8" t="s">
        <v>29</v>
      </c>
      <c r="D7" s="9" t="s">
        <v>44</v>
      </c>
      <c r="E7" s="9" t="s">
        <v>62</v>
      </c>
      <c r="F7" s="10" t="s">
        <v>63</v>
      </c>
      <c r="G7" s="9" t="s">
        <v>64</v>
      </c>
      <c r="H7" s="9" t="s">
        <v>65</v>
      </c>
      <c r="I7" s="14"/>
      <c r="J7" s="9" t="s">
        <v>66</v>
      </c>
      <c r="K7" s="10" t="s">
        <v>67</v>
      </c>
      <c r="L7" s="11"/>
      <c r="M7" s="12" t="s">
        <v>36</v>
      </c>
      <c r="N7" s="13"/>
      <c r="O7" s="13"/>
      <c r="P7" s="11"/>
      <c r="Q7" s="11"/>
      <c r="R7" s="11"/>
    </row>
    <row r="8" customFormat="false" ht="39.55" hidden="false" customHeight="false" outlineLevel="0" collapsed="false">
      <c r="A8" s="7" t="n">
        <v>7</v>
      </c>
      <c r="B8" s="7" t="s">
        <v>51</v>
      </c>
      <c r="C8" s="8" t="s">
        <v>29</v>
      </c>
      <c r="D8" s="9" t="s">
        <v>68</v>
      </c>
      <c r="E8" s="9" t="s">
        <v>69</v>
      </c>
      <c r="F8" s="10" t="s">
        <v>70</v>
      </c>
      <c r="G8" s="9" t="s">
        <v>71</v>
      </c>
      <c r="H8" s="14"/>
      <c r="I8" s="14"/>
      <c r="J8" s="9" t="s">
        <v>72</v>
      </c>
      <c r="K8" s="10" t="s">
        <v>73</v>
      </c>
      <c r="L8" s="11"/>
      <c r="M8" s="12" t="s">
        <v>36</v>
      </c>
      <c r="N8" s="13"/>
      <c r="O8" s="13"/>
      <c r="P8" s="11"/>
      <c r="Q8" s="11"/>
      <c r="R8" s="11"/>
    </row>
    <row r="9" customFormat="false" ht="64.9" hidden="false" customHeight="false" outlineLevel="0" collapsed="false">
      <c r="A9" s="7" t="n">
        <v>8</v>
      </c>
      <c r="B9" s="7" t="s">
        <v>74</v>
      </c>
      <c r="C9" s="8" t="s">
        <v>29</v>
      </c>
      <c r="D9" s="14"/>
      <c r="E9" s="9" t="s">
        <v>75</v>
      </c>
      <c r="F9" s="14"/>
      <c r="G9" s="14" t="s">
        <v>76</v>
      </c>
      <c r="H9" s="14"/>
      <c r="I9" s="9" t="s">
        <v>77</v>
      </c>
      <c r="J9" s="9" t="s">
        <v>78</v>
      </c>
      <c r="K9" s="10" t="s">
        <v>79</v>
      </c>
      <c r="L9" s="11"/>
      <c r="M9" s="12" t="s">
        <v>36</v>
      </c>
      <c r="N9" s="13"/>
      <c r="O9" s="13"/>
      <c r="P9" s="11"/>
      <c r="Q9" s="11"/>
      <c r="R9" s="11"/>
    </row>
    <row r="10" customFormat="false" ht="26.85" hidden="false" customHeight="false" outlineLevel="0" collapsed="false">
      <c r="A10" s="7" t="n">
        <v>9</v>
      </c>
      <c r="B10" s="7" t="s">
        <v>74</v>
      </c>
      <c r="C10" s="8" t="s">
        <v>29</v>
      </c>
      <c r="D10" s="14"/>
      <c r="E10" s="9" t="s">
        <v>80</v>
      </c>
      <c r="F10" s="10" t="s">
        <v>81</v>
      </c>
      <c r="G10" s="9" t="s">
        <v>82</v>
      </c>
      <c r="H10" s="14"/>
      <c r="I10" s="14"/>
      <c r="J10" s="9" t="s">
        <v>83</v>
      </c>
      <c r="K10" s="10" t="s">
        <v>84</v>
      </c>
      <c r="L10" s="11"/>
      <c r="M10" s="12" t="s">
        <v>36</v>
      </c>
      <c r="N10" s="13"/>
      <c r="O10" s="13"/>
      <c r="P10" s="11"/>
      <c r="Q10" s="11"/>
      <c r="R10" s="11"/>
    </row>
    <row r="11" customFormat="false" ht="26.85" hidden="false" customHeight="false" outlineLevel="0" collapsed="false">
      <c r="A11" s="7" t="n">
        <v>10</v>
      </c>
      <c r="B11" s="7" t="s">
        <v>74</v>
      </c>
      <c r="C11" s="8" t="s">
        <v>29</v>
      </c>
      <c r="D11" s="14"/>
      <c r="E11" s="9" t="s">
        <v>85</v>
      </c>
      <c r="F11" s="14"/>
      <c r="G11" s="9" t="s">
        <v>86</v>
      </c>
      <c r="H11" s="9" t="s">
        <v>87</v>
      </c>
      <c r="I11" s="14"/>
      <c r="J11" s="9" t="s">
        <v>88</v>
      </c>
      <c r="K11" s="10" t="s">
        <v>89</v>
      </c>
      <c r="L11" s="11"/>
      <c r="M11" s="12" t="s">
        <v>36</v>
      </c>
      <c r="N11" s="13"/>
      <c r="O11" s="13"/>
      <c r="P11" s="11"/>
      <c r="Q11" s="11"/>
      <c r="R11" s="11"/>
    </row>
    <row r="12" customFormat="false" ht="26.85" hidden="false" customHeight="false" outlineLevel="0" collapsed="false">
      <c r="A12" s="7" t="n">
        <v>11</v>
      </c>
      <c r="B12" s="7" t="s">
        <v>74</v>
      </c>
      <c r="C12" s="8" t="s">
        <v>29</v>
      </c>
      <c r="D12" s="9" t="s">
        <v>30</v>
      </c>
      <c r="E12" s="9" t="s">
        <v>90</v>
      </c>
      <c r="F12" s="14"/>
      <c r="G12" s="9" t="s">
        <v>91</v>
      </c>
      <c r="H12" s="14"/>
      <c r="I12" s="14"/>
      <c r="J12" s="9" t="s">
        <v>92</v>
      </c>
      <c r="K12" s="10" t="s">
        <v>93</v>
      </c>
      <c r="L12" s="11"/>
      <c r="M12" s="12" t="s">
        <v>36</v>
      </c>
      <c r="N12" s="13"/>
      <c r="O12" s="13"/>
      <c r="P12" s="11"/>
      <c r="Q12" s="11"/>
      <c r="R12" s="11"/>
    </row>
    <row r="13" customFormat="false" ht="26.85" hidden="false" customHeight="false" outlineLevel="0" collapsed="false">
      <c r="A13" s="7" t="n">
        <v>12</v>
      </c>
      <c r="B13" s="7" t="s">
        <v>74</v>
      </c>
      <c r="C13" s="8" t="s">
        <v>29</v>
      </c>
      <c r="D13" s="9" t="s">
        <v>94</v>
      </c>
      <c r="E13" s="9" t="s">
        <v>95</v>
      </c>
      <c r="F13" s="14"/>
      <c r="G13" s="9" t="s">
        <v>96</v>
      </c>
      <c r="H13" s="14"/>
      <c r="I13" s="14"/>
      <c r="J13" s="9" t="s">
        <v>97</v>
      </c>
      <c r="K13" s="10" t="s">
        <v>98</v>
      </c>
      <c r="L13" s="11"/>
      <c r="M13" s="12" t="s">
        <v>36</v>
      </c>
      <c r="N13" s="13"/>
      <c r="O13" s="13"/>
      <c r="P13" s="11"/>
      <c r="Q13" s="11"/>
      <c r="R13" s="11"/>
    </row>
    <row r="14" customFormat="false" ht="26.85" hidden="false" customHeight="false" outlineLevel="0" collapsed="false">
      <c r="A14" s="7" t="n">
        <v>13</v>
      </c>
      <c r="B14" s="7" t="s">
        <v>74</v>
      </c>
      <c r="C14" s="8" t="s">
        <v>29</v>
      </c>
      <c r="D14" s="9" t="s">
        <v>94</v>
      </c>
      <c r="E14" s="9" t="s">
        <v>99</v>
      </c>
      <c r="F14" s="14"/>
      <c r="G14" s="9" t="s">
        <v>100</v>
      </c>
      <c r="H14" s="14"/>
      <c r="I14" s="14"/>
      <c r="J14" s="9" t="s">
        <v>101</v>
      </c>
      <c r="K14" s="10" t="s">
        <v>102</v>
      </c>
      <c r="L14" s="11"/>
      <c r="M14" s="12" t="s">
        <v>36</v>
      </c>
      <c r="N14" s="13"/>
      <c r="O14" s="13"/>
      <c r="P14" s="11"/>
      <c r="Q14" s="11"/>
      <c r="R14" s="11"/>
    </row>
    <row r="15" customFormat="false" ht="26.85" hidden="false" customHeight="false" outlineLevel="0" collapsed="false">
      <c r="A15" s="7" t="n">
        <v>14</v>
      </c>
      <c r="B15" s="7" t="s">
        <v>74</v>
      </c>
      <c r="C15" s="8" t="s">
        <v>29</v>
      </c>
      <c r="D15" s="9" t="s">
        <v>103</v>
      </c>
      <c r="E15" s="9" t="s">
        <v>104</v>
      </c>
      <c r="F15" s="14"/>
      <c r="G15" s="9" t="s">
        <v>105</v>
      </c>
      <c r="H15" s="14"/>
      <c r="I15" s="14"/>
      <c r="J15" s="9" t="s">
        <v>106</v>
      </c>
      <c r="K15" s="10" t="s">
        <v>107</v>
      </c>
      <c r="L15" s="11"/>
      <c r="M15" s="12" t="s">
        <v>36</v>
      </c>
      <c r="N15" s="13"/>
      <c r="O15" s="13"/>
      <c r="P15" s="11"/>
      <c r="Q15" s="11"/>
      <c r="R15" s="11"/>
    </row>
    <row r="16" customFormat="false" ht="39.55" hidden="false" customHeight="false" outlineLevel="0" collapsed="false">
      <c r="A16" s="7" t="n">
        <v>15</v>
      </c>
      <c r="B16" s="7" t="s">
        <v>74</v>
      </c>
      <c r="C16" s="8" t="s">
        <v>29</v>
      </c>
      <c r="D16" s="9" t="s">
        <v>108</v>
      </c>
      <c r="E16" s="9" t="s">
        <v>109</v>
      </c>
      <c r="F16" s="14"/>
      <c r="G16" s="14" t="s">
        <v>110</v>
      </c>
      <c r="H16" s="14"/>
      <c r="I16" s="14"/>
      <c r="J16" s="9" t="s">
        <v>111</v>
      </c>
      <c r="K16" s="10" t="s">
        <v>112</v>
      </c>
      <c r="L16" s="11"/>
      <c r="M16" s="12" t="s">
        <v>36</v>
      </c>
      <c r="N16" s="13"/>
      <c r="O16" s="13"/>
      <c r="P16" s="11"/>
      <c r="Q16" s="11"/>
      <c r="R16" s="11"/>
    </row>
    <row r="17" customFormat="false" ht="39.55" hidden="false" customHeight="false" outlineLevel="0" collapsed="false">
      <c r="A17" s="7" t="n">
        <v>16</v>
      </c>
      <c r="B17" s="7" t="s">
        <v>74</v>
      </c>
      <c r="C17" s="8" t="s">
        <v>29</v>
      </c>
      <c r="D17" s="9" t="s">
        <v>37</v>
      </c>
      <c r="E17" s="9" t="s">
        <v>113</v>
      </c>
      <c r="F17" s="14"/>
      <c r="G17" s="9" t="s">
        <v>114</v>
      </c>
      <c r="H17" s="14"/>
      <c r="I17" s="14"/>
      <c r="J17" s="9" t="s">
        <v>115</v>
      </c>
      <c r="K17" s="10" t="s">
        <v>116</v>
      </c>
      <c r="L17" s="11"/>
      <c r="M17" s="12" t="s">
        <v>36</v>
      </c>
      <c r="N17" s="13"/>
      <c r="O17" s="13"/>
      <c r="P17" s="11"/>
      <c r="Q17" s="11"/>
      <c r="R17" s="11"/>
    </row>
    <row r="18" customFormat="false" ht="26.85" hidden="false" customHeight="false" outlineLevel="0" collapsed="false">
      <c r="A18" s="7" t="n">
        <v>17</v>
      </c>
      <c r="B18" s="7" t="s">
        <v>74</v>
      </c>
      <c r="C18" s="8" t="s">
        <v>29</v>
      </c>
      <c r="D18" s="9" t="s">
        <v>44</v>
      </c>
      <c r="E18" s="9" t="s">
        <v>117</v>
      </c>
      <c r="F18" s="14"/>
      <c r="G18" s="14" t="s">
        <v>118</v>
      </c>
      <c r="H18" s="14"/>
      <c r="I18" s="14"/>
      <c r="J18" s="9" t="s">
        <v>119</v>
      </c>
      <c r="K18" s="10" t="s">
        <v>120</v>
      </c>
      <c r="L18" s="11"/>
      <c r="M18" s="12" t="s">
        <v>36</v>
      </c>
      <c r="N18" s="13"/>
      <c r="O18" s="13"/>
      <c r="P18" s="11"/>
      <c r="Q18" s="11"/>
      <c r="R18" s="11"/>
    </row>
    <row r="19" customFormat="false" ht="39.55" hidden="false" customHeight="false" outlineLevel="0" collapsed="false">
      <c r="A19" s="7" t="n">
        <v>18</v>
      </c>
      <c r="B19" s="7" t="s">
        <v>28</v>
      </c>
      <c r="C19" s="8" t="s">
        <v>121</v>
      </c>
      <c r="D19" s="9" t="s">
        <v>122</v>
      </c>
      <c r="E19" s="9" t="s">
        <v>123</v>
      </c>
      <c r="F19" s="14"/>
      <c r="G19" s="14" t="s">
        <v>124</v>
      </c>
      <c r="H19" s="9" t="s">
        <v>125</v>
      </c>
      <c r="I19" s="14" t="s">
        <v>126</v>
      </c>
      <c r="J19" s="9" t="s">
        <v>127</v>
      </c>
      <c r="K19" s="10" t="s">
        <v>128</v>
      </c>
      <c r="L19" s="11"/>
      <c r="M19" s="12" t="s">
        <v>36</v>
      </c>
      <c r="N19" s="13"/>
      <c r="O19" s="13"/>
      <c r="P19" s="11"/>
      <c r="Q19" s="11"/>
      <c r="R19" s="11"/>
    </row>
    <row r="20" customFormat="false" ht="39.55" hidden="false" customHeight="false" outlineLevel="0" collapsed="false">
      <c r="A20" s="7" t="n">
        <v>19</v>
      </c>
      <c r="B20" s="7" t="s">
        <v>28</v>
      </c>
      <c r="C20" s="8" t="s">
        <v>121</v>
      </c>
      <c r="D20" s="9" t="s">
        <v>129</v>
      </c>
      <c r="E20" s="9" t="s">
        <v>130</v>
      </c>
      <c r="F20" s="10" t="s">
        <v>131</v>
      </c>
      <c r="G20" s="9" t="s">
        <v>132</v>
      </c>
      <c r="H20" s="9" t="s">
        <v>133</v>
      </c>
      <c r="I20" s="14"/>
      <c r="J20" s="9" t="s">
        <v>134</v>
      </c>
      <c r="K20" s="10" t="s">
        <v>135</v>
      </c>
      <c r="L20" s="11"/>
      <c r="M20" s="12" t="s">
        <v>36</v>
      </c>
      <c r="N20" s="13"/>
      <c r="O20" s="13"/>
      <c r="P20" s="11"/>
      <c r="Q20" s="11"/>
      <c r="R20" s="11"/>
    </row>
    <row r="21" customFormat="false" ht="39.55" hidden="false" customHeight="false" outlineLevel="0" collapsed="false">
      <c r="A21" s="7" t="n">
        <v>20</v>
      </c>
      <c r="B21" s="7" t="s">
        <v>51</v>
      </c>
      <c r="C21" s="8" t="s">
        <v>121</v>
      </c>
      <c r="D21" s="14"/>
      <c r="E21" s="9" t="s">
        <v>136</v>
      </c>
      <c r="F21" s="10" t="s">
        <v>137</v>
      </c>
      <c r="G21" s="9" t="s">
        <v>138</v>
      </c>
      <c r="H21" s="14"/>
      <c r="I21" s="14"/>
      <c r="J21" s="9" t="s">
        <v>139</v>
      </c>
      <c r="K21" s="10" t="s">
        <v>140</v>
      </c>
      <c r="L21" s="11"/>
      <c r="M21" s="12" t="s">
        <v>36</v>
      </c>
      <c r="N21" s="13"/>
      <c r="O21" s="13"/>
      <c r="P21" s="11"/>
      <c r="Q21" s="11"/>
      <c r="R21" s="11"/>
    </row>
    <row r="22" customFormat="false" ht="26.85" hidden="false" customHeight="false" outlineLevel="0" collapsed="false">
      <c r="A22" s="7" t="n">
        <v>21</v>
      </c>
      <c r="B22" s="7" t="s">
        <v>51</v>
      </c>
      <c r="C22" s="8" t="s">
        <v>121</v>
      </c>
      <c r="D22" s="9" t="s">
        <v>141</v>
      </c>
      <c r="E22" s="9" t="s">
        <v>142</v>
      </c>
      <c r="F22" s="14"/>
      <c r="G22" s="14" t="s">
        <v>143</v>
      </c>
      <c r="H22" s="14" t="s">
        <v>144</v>
      </c>
      <c r="I22" s="14"/>
      <c r="J22" s="9" t="s">
        <v>145</v>
      </c>
      <c r="K22" s="10" t="s">
        <v>146</v>
      </c>
      <c r="L22" s="11"/>
      <c r="M22" s="12" t="s">
        <v>36</v>
      </c>
      <c r="N22" s="13"/>
      <c r="O22" s="13"/>
      <c r="P22" s="11"/>
      <c r="Q22" s="11"/>
      <c r="R22" s="11"/>
    </row>
    <row r="23" customFormat="false" ht="39.55" hidden="false" customHeight="false" outlineLevel="0" collapsed="false">
      <c r="A23" s="7" t="n">
        <v>22</v>
      </c>
      <c r="B23" s="7" t="s">
        <v>51</v>
      </c>
      <c r="C23" s="8" t="s">
        <v>121</v>
      </c>
      <c r="D23" s="9" t="s">
        <v>147</v>
      </c>
      <c r="E23" s="9" t="s">
        <v>148</v>
      </c>
      <c r="F23" s="14"/>
      <c r="G23" s="9" t="s">
        <v>149</v>
      </c>
      <c r="H23" s="9" t="s">
        <v>150</v>
      </c>
      <c r="I23" s="14"/>
      <c r="J23" s="9" t="s">
        <v>151</v>
      </c>
      <c r="K23" s="10" t="s">
        <v>152</v>
      </c>
      <c r="L23" s="11"/>
      <c r="M23" s="12" t="s">
        <v>36</v>
      </c>
      <c r="N23" s="13"/>
      <c r="O23" s="13"/>
      <c r="P23" s="11"/>
      <c r="Q23" s="11"/>
      <c r="R23" s="11"/>
    </row>
    <row r="24" customFormat="false" ht="26.85" hidden="false" customHeight="false" outlineLevel="0" collapsed="false">
      <c r="A24" s="7" t="n">
        <v>23</v>
      </c>
      <c r="B24" s="7" t="s">
        <v>51</v>
      </c>
      <c r="C24" s="8" t="s">
        <v>121</v>
      </c>
      <c r="D24" s="9" t="s">
        <v>147</v>
      </c>
      <c r="E24" s="9" t="s">
        <v>153</v>
      </c>
      <c r="F24" s="14"/>
      <c r="G24" s="9" t="s">
        <v>154</v>
      </c>
      <c r="H24" s="9" t="s">
        <v>155</v>
      </c>
      <c r="I24" s="14"/>
      <c r="J24" s="9" t="s">
        <v>156</v>
      </c>
      <c r="K24" s="10" t="s">
        <v>152</v>
      </c>
      <c r="L24" s="11"/>
      <c r="M24" s="12" t="s">
        <v>36</v>
      </c>
      <c r="N24" s="13"/>
      <c r="O24" s="13"/>
      <c r="P24" s="11"/>
      <c r="Q24" s="11"/>
      <c r="R24" s="11"/>
    </row>
    <row r="25" customFormat="false" ht="39.55" hidden="false" customHeight="false" outlineLevel="0" collapsed="false">
      <c r="A25" s="7" t="n">
        <v>24</v>
      </c>
      <c r="B25" s="7" t="s">
        <v>51</v>
      </c>
      <c r="C25" s="8" t="s">
        <v>121</v>
      </c>
      <c r="D25" s="9" t="s">
        <v>157</v>
      </c>
      <c r="E25" s="9" t="s">
        <v>158</v>
      </c>
      <c r="F25" s="14"/>
      <c r="G25" s="14" t="s">
        <v>159</v>
      </c>
      <c r="H25" s="9" t="s">
        <v>160</v>
      </c>
      <c r="I25" s="14"/>
      <c r="J25" s="14" t="s">
        <v>161</v>
      </c>
      <c r="K25" s="10" t="s">
        <v>162</v>
      </c>
      <c r="L25" s="11"/>
      <c r="M25" s="12" t="s">
        <v>36</v>
      </c>
      <c r="N25" s="13"/>
      <c r="O25" s="13"/>
      <c r="P25" s="11"/>
      <c r="Q25" s="11"/>
      <c r="R25" s="11"/>
    </row>
    <row r="26" customFormat="false" ht="39.55" hidden="false" customHeight="false" outlineLevel="0" collapsed="false">
      <c r="A26" s="7" t="n">
        <v>25</v>
      </c>
      <c r="B26" s="7" t="s">
        <v>51</v>
      </c>
      <c r="C26" s="8" t="s">
        <v>121</v>
      </c>
      <c r="D26" s="9" t="s">
        <v>163</v>
      </c>
      <c r="E26" s="9" t="s">
        <v>164</v>
      </c>
      <c r="F26" s="14"/>
      <c r="G26" s="14" t="s">
        <v>165</v>
      </c>
      <c r="H26" s="14"/>
      <c r="I26" s="14"/>
      <c r="J26" s="9" t="s">
        <v>166</v>
      </c>
      <c r="K26" s="10" t="s">
        <v>167</v>
      </c>
      <c r="L26" s="11"/>
      <c r="M26" s="12" t="s">
        <v>36</v>
      </c>
      <c r="N26" s="13"/>
      <c r="O26" s="13"/>
      <c r="P26" s="11"/>
      <c r="Q26" s="11"/>
      <c r="R26" s="11"/>
    </row>
    <row r="27" customFormat="false" ht="39.55" hidden="false" customHeight="false" outlineLevel="0" collapsed="false">
      <c r="A27" s="7" t="n">
        <v>26</v>
      </c>
      <c r="B27" s="7" t="s">
        <v>51</v>
      </c>
      <c r="C27" s="8" t="s">
        <v>121</v>
      </c>
      <c r="D27" s="9" t="s">
        <v>168</v>
      </c>
      <c r="E27" s="9" t="s">
        <v>169</v>
      </c>
      <c r="F27" s="14"/>
      <c r="G27" s="9" t="s">
        <v>170</v>
      </c>
      <c r="H27" s="14"/>
      <c r="I27" s="14"/>
      <c r="J27" s="9" t="s">
        <v>171</v>
      </c>
      <c r="K27" s="10" t="s">
        <v>172</v>
      </c>
      <c r="L27" s="11"/>
      <c r="M27" s="12" t="s">
        <v>36</v>
      </c>
      <c r="N27" s="13"/>
      <c r="O27" s="13"/>
      <c r="P27" s="11"/>
      <c r="Q27" s="11"/>
      <c r="R27" s="11"/>
    </row>
    <row r="28" customFormat="false" ht="39.55" hidden="false" customHeight="false" outlineLevel="0" collapsed="false">
      <c r="A28" s="7" t="n">
        <v>27</v>
      </c>
      <c r="B28" s="7" t="s">
        <v>51</v>
      </c>
      <c r="C28" s="8" t="s">
        <v>121</v>
      </c>
      <c r="D28" s="9" t="s">
        <v>173</v>
      </c>
      <c r="E28" s="9" t="s">
        <v>174</v>
      </c>
      <c r="F28" s="14"/>
      <c r="G28" s="9" t="s">
        <v>175</v>
      </c>
      <c r="H28" s="9" t="s">
        <v>176</v>
      </c>
      <c r="I28" s="14"/>
      <c r="J28" s="9" t="s">
        <v>177</v>
      </c>
      <c r="K28" s="10" t="s">
        <v>178</v>
      </c>
      <c r="L28" s="11"/>
      <c r="M28" s="12" t="s">
        <v>36</v>
      </c>
      <c r="N28" s="13"/>
      <c r="O28" s="13"/>
      <c r="P28" s="11"/>
      <c r="Q28" s="11"/>
      <c r="R28" s="11"/>
    </row>
    <row r="29" customFormat="false" ht="26.85" hidden="false" customHeight="false" outlineLevel="0" collapsed="false">
      <c r="A29" s="7" t="n">
        <v>28</v>
      </c>
      <c r="B29" s="7" t="s">
        <v>51</v>
      </c>
      <c r="C29" s="8" t="s">
        <v>121</v>
      </c>
      <c r="D29" s="9" t="s">
        <v>179</v>
      </c>
      <c r="E29" s="9" t="s">
        <v>180</v>
      </c>
      <c r="F29" s="10" t="s">
        <v>181</v>
      </c>
      <c r="G29" s="14" t="s">
        <v>182</v>
      </c>
      <c r="H29" s="14"/>
      <c r="I29" s="14"/>
      <c r="J29" s="9" t="s">
        <v>183</v>
      </c>
      <c r="K29" s="10" t="s">
        <v>181</v>
      </c>
      <c r="L29" s="11"/>
      <c r="M29" s="12" t="s">
        <v>36</v>
      </c>
      <c r="N29" s="13"/>
      <c r="O29" s="13"/>
      <c r="P29" s="11"/>
      <c r="Q29" s="11"/>
      <c r="R29" s="11"/>
    </row>
    <row r="30" customFormat="false" ht="26.85" hidden="false" customHeight="false" outlineLevel="0" collapsed="false">
      <c r="A30" s="7" t="n">
        <v>29</v>
      </c>
      <c r="B30" s="7" t="s">
        <v>74</v>
      </c>
      <c r="C30" s="8" t="s">
        <v>121</v>
      </c>
      <c r="D30" s="9" t="s">
        <v>184</v>
      </c>
      <c r="E30" s="9" t="s">
        <v>185</v>
      </c>
      <c r="F30" s="14"/>
      <c r="G30" s="14" t="s">
        <v>186</v>
      </c>
      <c r="H30" s="14"/>
      <c r="I30" s="14"/>
      <c r="J30" s="9" t="s">
        <v>187</v>
      </c>
      <c r="K30" s="10" t="s">
        <v>188</v>
      </c>
      <c r="L30" s="11"/>
      <c r="M30" s="12" t="s">
        <v>36</v>
      </c>
      <c r="N30" s="13"/>
      <c r="O30" s="13"/>
      <c r="P30" s="11"/>
      <c r="Q30" s="11"/>
      <c r="R30" s="11"/>
    </row>
    <row r="31" customFormat="false" ht="26.85" hidden="false" customHeight="false" outlineLevel="0" collapsed="false">
      <c r="A31" s="7" t="n">
        <v>30</v>
      </c>
      <c r="B31" s="7" t="s">
        <v>74</v>
      </c>
      <c r="C31" s="8" t="s">
        <v>121</v>
      </c>
      <c r="D31" s="9" t="s">
        <v>141</v>
      </c>
      <c r="E31" s="9" t="s">
        <v>189</v>
      </c>
      <c r="F31" s="14"/>
      <c r="G31" s="14" t="s">
        <v>190</v>
      </c>
      <c r="H31" s="14"/>
      <c r="I31" s="14"/>
      <c r="J31" s="9" t="s">
        <v>191</v>
      </c>
      <c r="K31" s="10" t="s">
        <v>146</v>
      </c>
      <c r="L31" s="11"/>
      <c r="M31" s="12" t="s">
        <v>36</v>
      </c>
      <c r="N31" s="13"/>
      <c r="O31" s="13"/>
      <c r="P31" s="11"/>
      <c r="Q31" s="11"/>
      <c r="R31" s="11"/>
    </row>
    <row r="32" customFormat="false" ht="39.55" hidden="false" customHeight="false" outlineLevel="0" collapsed="false">
      <c r="A32" s="7" t="n">
        <v>31</v>
      </c>
      <c r="B32" s="7" t="s">
        <v>74</v>
      </c>
      <c r="C32" s="8" t="s">
        <v>121</v>
      </c>
      <c r="D32" s="9" t="s">
        <v>192</v>
      </c>
      <c r="E32" s="9" t="s">
        <v>193</v>
      </c>
      <c r="F32" s="14"/>
      <c r="G32" s="14" t="s">
        <v>194</v>
      </c>
      <c r="H32" s="9" t="s">
        <v>195</v>
      </c>
      <c r="I32" s="14"/>
      <c r="J32" s="9" t="s">
        <v>196</v>
      </c>
      <c r="K32" s="10" t="s">
        <v>197</v>
      </c>
      <c r="L32" s="11"/>
      <c r="M32" s="12" t="s">
        <v>36</v>
      </c>
      <c r="N32" s="13"/>
      <c r="O32" s="13"/>
      <c r="P32" s="11"/>
      <c r="Q32" s="11"/>
      <c r="R32" s="11"/>
    </row>
    <row r="33" customFormat="false" ht="26.85" hidden="false" customHeight="false" outlineLevel="0" collapsed="false">
      <c r="A33" s="7" t="n">
        <v>32</v>
      </c>
      <c r="B33" s="7" t="s">
        <v>74</v>
      </c>
      <c r="C33" s="8" t="s">
        <v>121</v>
      </c>
      <c r="D33" s="9" t="s">
        <v>198</v>
      </c>
      <c r="E33" s="9" t="s">
        <v>199</v>
      </c>
      <c r="F33" s="14"/>
      <c r="G33" s="9" t="s">
        <v>200</v>
      </c>
      <c r="H33" s="14"/>
      <c r="I33" s="14"/>
      <c r="J33" s="9" t="s">
        <v>201</v>
      </c>
      <c r="K33" s="10" t="s">
        <v>202</v>
      </c>
      <c r="L33" s="11"/>
      <c r="M33" s="12" t="s">
        <v>36</v>
      </c>
      <c r="N33" s="13"/>
      <c r="O33" s="13"/>
      <c r="P33" s="11"/>
      <c r="Q33" s="11"/>
      <c r="R33" s="11"/>
    </row>
    <row r="34" customFormat="false" ht="26.85" hidden="false" customHeight="false" outlineLevel="0" collapsed="false">
      <c r="A34" s="7" t="n">
        <v>33</v>
      </c>
      <c r="B34" s="7" t="s">
        <v>74</v>
      </c>
      <c r="C34" s="8" t="s">
        <v>121</v>
      </c>
      <c r="D34" s="9" t="s">
        <v>203</v>
      </c>
      <c r="E34" s="9" t="s">
        <v>204</v>
      </c>
      <c r="F34" s="14"/>
      <c r="G34" s="9" t="s">
        <v>205</v>
      </c>
      <c r="H34" s="14"/>
      <c r="I34" s="14"/>
      <c r="J34" s="9" t="s">
        <v>206</v>
      </c>
      <c r="K34" s="10" t="s">
        <v>207</v>
      </c>
      <c r="L34" s="11"/>
      <c r="M34" s="12" t="s">
        <v>36</v>
      </c>
      <c r="N34" s="13"/>
      <c r="O34" s="13"/>
      <c r="P34" s="11"/>
      <c r="Q34" s="11"/>
      <c r="R34" s="11"/>
    </row>
    <row r="35" customFormat="false" ht="26.85" hidden="false" customHeight="false" outlineLevel="0" collapsed="false">
      <c r="A35" s="7" t="n">
        <v>34</v>
      </c>
      <c r="B35" s="7" t="s">
        <v>74</v>
      </c>
      <c r="C35" s="8" t="s">
        <v>121</v>
      </c>
      <c r="D35" s="9" t="s">
        <v>173</v>
      </c>
      <c r="E35" s="9" t="s">
        <v>208</v>
      </c>
      <c r="F35" s="14"/>
      <c r="G35" s="14" t="s">
        <v>209</v>
      </c>
      <c r="H35" s="14"/>
      <c r="I35" s="14"/>
      <c r="J35" s="9" t="s">
        <v>210</v>
      </c>
      <c r="K35" s="10" t="s">
        <v>211</v>
      </c>
      <c r="L35" s="11"/>
      <c r="M35" s="12" t="s">
        <v>36</v>
      </c>
      <c r="N35" s="13"/>
      <c r="O35" s="13"/>
      <c r="P35" s="11"/>
      <c r="Q35" s="11"/>
      <c r="R35" s="11"/>
    </row>
    <row r="36" customFormat="false" ht="26.85" hidden="false" customHeight="false" outlineLevel="0" collapsed="false">
      <c r="A36" s="7" t="n">
        <v>35</v>
      </c>
      <c r="B36" s="7" t="s">
        <v>74</v>
      </c>
      <c r="C36" s="8" t="s">
        <v>121</v>
      </c>
      <c r="D36" s="9" t="s">
        <v>173</v>
      </c>
      <c r="E36" s="9" t="s">
        <v>212</v>
      </c>
      <c r="F36" s="14"/>
      <c r="G36" s="9" t="s">
        <v>213</v>
      </c>
      <c r="H36" s="14"/>
      <c r="I36" s="14"/>
      <c r="J36" s="9" t="s">
        <v>214</v>
      </c>
      <c r="K36" s="10" t="s">
        <v>211</v>
      </c>
      <c r="L36" s="11"/>
      <c r="M36" s="12" t="s">
        <v>36</v>
      </c>
      <c r="N36" s="13"/>
      <c r="O36" s="13"/>
      <c r="P36" s="11"/>
      <c r="Q36" s="11"/>
      <c r="R36" s="11"/>
    </row>
    <row r="37" customFormat="false" ht="39.55" hidden="false" customHeight="false" outlineLevel="0" collapsed="false">
      <c r="A37" s="7" t="n">
        <v>36</v>
      </c>
      <c r="B37" s="7" t="s">
        <v>28</v>
      </c>
      <c r="C37" s="8" t="s">
        <v>215</v>
      </c>
      <c r="D37" s="9" t="s">
        <v>216</v>
      </c>
      <c r="E37" s="9" t="s">
        <v>217</v>
      </c>
      <c r="F37" s="14"/>
      <c r="G37" s="14" t="s">
        <v>218</v>
      </c>
      <c r="H37" s="14"/>
      <c r="I37" s="14"/>
      <c r="J37" s="9" t="s">
        <v>219</v>
      </c>
      <c r="K37" s="10" t="s">
        <v>220</v>
      </c>
      <c r="L37" s="11"/>
      <c r="M37" s="12" t="s">
        <v>36</v>
      </c>
      <c r="N37" s="13"/>
      <c r="O37" s="13"/>
      <c r="P37" s="11"/>
      <c r="Q37" s="11"/>
      <c r="R37" s="11"/>
    </row>
    <row r="38" customFormat="false" ht="39.55" hidden="false" customHeight="false" outlineLevel="0" collapsed="false">
      <c r="A38" s="7" t="n">
        <v>37</v>
      </c>
      <c r="B38" s="7" t="s">
        <v>28</v>
      </c>
      <c r="C38" s="8" t="s">
        <v>215</v>
      </c>
      <c r="D38" s="9" t="s">
        <v>221</v>
      </c>
      <c r="E38" s="9" t="s">
        <v>222</v>
      </c>
      <c r="F38" s="14"/>
      <c r="G38" s="9" t="s">
        <v>223</v>
      </c>
      <c r="H38" s="14"/>
      <c r="I38" s="14"/>
      <c r="J38" s="9" t="s">
        <v>224</v>
      </c>
      <c r="K38" s="10" t="s">
        <v>225</v>
      </c>
      <c r="L38" s="11"/>
      <c r="M38" s="12" t="s">
        <v>36</v>
      </c>
      <c r="N38" s="13"/>
      <c r="O38" s="13"/>
      <c r="P38" s="11"/>
      <c r="Q38" s="11"/>
      <c r="R38" s="11"/>
    </row>
    <row r="39" customFormat="false" ht="52.2" hidden="false" customHeight="false" outlineLevel="0" collapsed="false">
      <c r="A39" s="7" t="n">
        <v>38</v>
      </c>
      <c r="B39" s="7" t="s">
        <v>51</v>
      </c>
      <c r="C39" s="8" t="s">
        <v>215</v>
      </c>
      <c r="D39" s="14"/>
      <c r="E39" s="9" t="s">
        <v>226</v>
      </c>
      <c r="F39" s="14"/>
      <c r="G39" s="9" t="s">
        <v>227</v>
      </c>
      <c r="H39" s="14"/>
      <c r="I39" s="14"/>
      <c r="J39" s="9" t="s">
        <v>228</v>
      </c>
      <c r="K39" s="10" t="s">
        <v>229</v>
      </c>
      <c r="L39" s="11"/>
      <c r="M39" s="12" t="s">
        <v>36</v>
      </c>
      <c r="N39" s="13"/>
      <c r="O39" s="13"/>
      <c r="P39" s="11"/>
      <c r="Q39" s="11"/>
      <c r="R39" s="11"/>
    </row>
    <row r="40" customFormat="false" ht="52.2" hidden="false" customHeight="false" outlineLevel="0" collapsed="false">
      <c r="A40" s="7" t="n">
        <v>39</v>
      </c>
      <c r="B40" s="7" t="s">
        <v>51</v>
      </c>
      <c r="C40" s="8" t="s">
        <v>215</v>
      </c>
      <c r="D40" s="14"/>
      <c r="E40" s="9" t="s">
        <v>230</v>
      </c>
      <c r="F40" s="14"/>
      <c r="G40" s="9" t="s">
        <v>231</v>
      </c>
      <c r="H40" s="14"/>
      <c r="I40" s="14"/>
      <c r="J40" s="9" t="s">
        <v>232</v>
      </c>
      <c r="K40" s="10" t="s">
        <v>233</v>
      </c>
      <c r="L40" s="11"/>
      <c r="M40" s="12" t="s">
        <v>36</v>
      </c>
      <c r="N40" s="13"/>
      <c r="O40" s="13"/>
      <c r="P40" s="11"/>
      <c r="Q40" s="11"/>
      <c r="R40" s="11"/>
    </row>
    <row r="41" customFormat="false" ht="39.55" hidden="false" customHeight="false" outlineLevel="0" collapsed="false">
      <c r="A41" s="7" t="n">
        <v>40</v>
      </c>
      <c r="B41" s="7" t="s">
        <v>51</v>
      </c>
      <c r="C41" s="8" t="s">
        <v>215</v>
      </c>
      <c r="D41" s="9" t="s">
        <v>234</v>
      </c>
      <c r="E41" s="9" t="s">
        <v>235</v>
      </c>
      <c r="F41" s="14"/>
      <c r="G41" s="9" t="s">
        <v>236</v>
      </c>
      <c r="H41" s="14"/>
      <c r="I41" s="14"/>
      <c r="J41" s="9" t="s">
        <v>237</v>
      </c>
      <c r="K41" s="10" t="s">
        <v>238</v>
      </c>
      <c r="L41" s="11"/>
      <c r="M41" s="12" t="s">
        <v>36</v>
      </c>
      <c r="N41" s="13"/>
      <c r="O41" s="13"/>
      <c r="P41" s="11"/>
      <c r="Q41" s="11"/>
      <c r="R41" s="11"/>
    </row>
    <row r="42" customFormat="false" ht="39.55" hidden="false" customHeight="false" outlineLevel="0" collapsed="false">
      <c r="A42" s="7" t="n">
        <v>41</v>
      </c>
      <c r="B42" s="7" t="s">
        <v>51</v>
      </c>
      <c r="C42" s="8" t="s">
        <v>215</v>
      </c>
      <c r="D42" s="9" t="s">
        <v>234</v>
      </c>
      <c r="E42" s="9" t="s">
        <v>239</v>
      </c>
      <c r="F42" s="10" t="s">
        <v>240</v>
      </c>
      <c r="G42" s="9" t="s">
        <v>241</v>
      </c>
      <c r="H42" s="14"/>
      <c r="I42" s="14"/>
      <c r="J42" s="9" t="s">
        <v>242</v>
      </c>
      <c r="K42" s="10" t="s">
        <v>243</v>
      </c>
      <c r="L42" s="11"/>
      <c r="M42" s="12" t="s">
        <v>36</v>
      </c>
      <c r="N42" s="13"/>
      <c r="O42" s="13"/>
      <c r="P42" s="11"/>
      <c r="Q42" s="11"/>
      <c r="R42" s="11"/>
    </row>
    <row r="43" customFormat="false" ht="39.55" hidden="false" customHeight="false" outlineLevel="0" collapsed="false">
      <c r="A43" s="7" t="n">
        <v>42</v>
      </c>
      <c r="B43" s="7" t="s">
        <v>51</v>
      </c>
      <c r="C43" s="8" t="s">
        <v>215</v>
      </c>
      <c r="D43" s="9" t="s">
        <v>234</v>
      </c>
      <c r="E43" s="9" t="s">
        <v>244</v>
      </c>
      <c r="F43" s="14"/>
      <c r="G43" s="14" t="s">
        <v>245</v>
      </c>
      <c r="H43" s="14"/>
      <c r="I43" s="14"/>
      <c r="J43" s="9" t="s">
        <v>246</v>
      </c>
      <c r="K43" s="10" t="s">
        <v>247</v>
      </c>
      <c r="L43" s="11"/>
      <c r="M43" s="12" t="s">
        <v>36</v>
      </c>
      <c r="N43" s="13"/>
      <c r="O43" s="13"/>
      <c r="P43" s="11"/>
      <c r="Q43" s="11"/>
      <c r="R43" s="11"/>
    </row>
    <row r="44" customFormat="false" ht="52.2" hidden="false" customHeight="false" outlineLevel="0" collapsed="false">
      <c r="A44" s="7" t="n">
        <v>43</v>
      </c>
      <c r="B44" s="7" t="s">
        <v>51</v>
      </c>
      <c r="C44" s="8" t="s">
        <v>215</v>
      </c>
      <c r="D44" s="9" t="s">
        <v>216</v>
      </c>
      <c r="E44" s="9" t="s">
        <v>248</v>
      </c>
      <c r="F44" s="10" t="s">
        <v>249</v>
      </c>
      <c r="G44" s="9" t="s">
        <v>250</v>
      </c>
      <c r="H44" s="9" t="s">
        <v>251</v>
      </c>
      <c r="I44" s="9" t="s">
        <v>252</v>
      </c>
      <c r="J44" s="9" t="s">
        <v>253</v>
      </c>
      <c r="K44" s="10" t="s">
        <v>254</v>
      </c>
      <c r="L44" s="11"/>
      <c r="M44" s="12" t="s">
        <v>36</v>
      </c>
      <c r="N44" s="13"/>
      <c r="O44" s="13"/>
      <c r="P44" s="11"/>
      <c r="Q44" s="11"/>
      <c r="R44" s="11"/>
    </row>
    <row r="45" customFormat="false" ht="39.55" hidden="false" customHeight="false" outlineLevel="0" collapsed="false">
      <c r="A45" s="7" t="n">
        <v>44</v>
      </c>
      <c r="B45" s="7" t="s">
        <v>51</v>
      </c>
      <c r="C45" s="8" t="s">
        <v>215</v>
      </c>
      <c r="D45" s="9" t="s">
        <v>221</v>
      </c>
      <c r="E45" s="9" t="s">
        <v>255</v>
      </c>
      <c r="F45" s="10" t="s">
        <v>256</v>
      </c>
      <c r="G45" s="9" t="s">
        <v>257</v>
      </c>
      <c r="H45" s="14"/>
      <c r="I45" s="9" t="s">
        <v>258</v>
      </c>
      <c r="J45" s="9" t="s">
        <v>259</v>
      </c>
      <c r="K45" s="10" t="s">
        <v>260</v>
      </c>
      <c r="L45" s="11"/>
      <c r="M45" s="12" t="s">
        <v>36</v>
      </c>
      <c r="N45" s="13"/>
      <c r="O45" s="13"/>
      <c r="P45" s="11"/>
      <c r="Q45" s="11"/>
      <c r="R45" s="11"/>
    </row>
    <row r="46" customFormat="false" ht="39.55" hidden="false" customHeight="false" outlineLevel="0" collapsed="false">
      <c r="A46" s="7" t="n">
        <v>45</v>
      </c>
      <c r="B46" s="7" t="s">
        <v>51</v>
      </c>
      <c r="C46" s="8" t="s">
        <v>215</v>
      </c>
      <c r="D46" s="9" t="s">
        <v>261</v>
      </c>
      <c r="E46" s="9" t="s">
        <v>262</v>
      </c>
      <c r="F46" s="14"/>
      <c r="G46" s="9" t="s">
        <v>263</v>
      </c>
      <c r="H46" s="9" t="s">
        <v>264</v>
      </c>
      <c r="I46" s="14"/>
      <c r="J46" s="9" t="s">
        <v>265</v>
      </c>
      <c r="K46" s="10" t="s">
        <v>266</v>
      </c>
      <c r="L46" s="11"/>
      <c r="M46" s="12" t="s">
        <v>36</v>
      </c>
      <c r="N46" s="13"/>
      <c r="O46" s="13"/>
      <c r="P46" s="11"/>
      <c r="Q46" s="11"/>
      <c r="R46" s="11"/>
    </row>
    <row r="47" customFormat="false" ht="39.55" hidden="false" customHeight="false" outlineLevel="0" collapsed="false">
      <c r="A47" s="7" t="n">
        <v>46</v>
      </c>
      <c r="B47" s="7" t="s">
        <v>51</v>
      </c>
      <c r="C47" s="8" t="s">
        <v>215</v>
      </c>
      <c r="D47" s="9" t="s">
        <v>267</v>
      </c>
      <c r="E47" s="9" t="s">
        <v>268</v>
      </c>
      <c r="F47" s="14"/>
      <c r="G47" s="9" t="s">
        <v>269</v>
      </c>
      <c r="H47" s="9" t="s">
        <v>270</v>
      </c>
      <c r="I47" s="14"/>
      <c r="J47" s="9" t="s">
        <v>271</v>
      </c>
      <c r="K47" s="10" t="s">
        <v>272</v>
      </c>
      <c r="L47" s="11"/>
      <c r="M47" s="12" t="s">
        <v>36</v>
      </c>
      <c r="N47" s="13"/>
      <c r="O47" s="13"/>
      <c r="P47" s="11"/>
      <c r="Q47" s="11"/>
      <c r="R47" s="11"/>
    </row>
    <row r="48" customFormat="false" ht="39.55" hidden="false" customHeight="false" outlineLevel="0" collapsed="false">
      <c r="A48" s="7" t="n">
        <v>47</v>
      </c>
      <c r="B48" s="7" t="s">
        <v>51</v>
      </c>
      <c r="C48" s="8" t="s">
        <v>215</v>
      </c>
      <c r="D48" s="9" t="s">
        <v>273</v>
      </c>
      <c r="E48" s="9" t="s">
        <v>274</v>
      </c>
      <c r="F48" s="14"/>
      <c r="G48" s="14" t="s">
        <v>275</v>
      </c>
      <c r="H48" s="9" t="s">
        <v>276</v>
      </c>
      <c r="I48" s="14"/>
      <c r="J48" s="9" t="s">
        <v>277</v>
      </c>
      <c r="K48" s="10" t="s">
        <v>278</v>
      </c>
      <c r="L48" s="11"/>
      <c r="M48" s="12" t="s">
        <v>36</v>
      </c>
      <c r="N48" s="13"/>
      <c r="O48" s="13"/>
      <c r="P48" s="11"/>
      <c r="Q48" s="11"/>
      <c r="R48" s="11"/>
    </row>
    <row r="49" customFormat="false" ht="52.2" hidden="false" customHeight="false" outlineLevel="0" collapsed="false">
      <c r="A49" s="7" t="n">
        <v>48</v>
      </c>
      <c r="B49" s="7" t="s">
        <v>51</v>
      </c>
      <c r="C49" s="8" t="s">
        <v>215</v>
      </c>
      <c r="D49" s="9" t="s">
        <v>279</v>
      </c>
      <c r="E49" s="9" t="s">
        <v>280</v>
      </c>
      <c r="F49" s="14"/>
      <c r="G49" s="9" t="s">
        <v>281</v>
      </c>
      <c r="H49" s="14"/>
      <c r="I49" s="14"/>
      <c r="J49" s="9" t="s">
        <v>282</v>
      </c>
      <c r="K49" s="10" t="s">
        <v>283</v>
      </c>
      <c r="L49" s="11"/>
      <c r="M49" s="12" t="s">
        <v>36</v>
      </c>
      <c r="N49" s="13"/>
      <c r="O49" s="13"/>
      <c r="P49" s="11"/>
      <c r="Q49" s="11"/>
      <c r="R49" s="11"/>
    </row>
    <row r="50" customFormat="false" ht="39.55" hidden="false" customHeight="false" outlineLevel="0" collapsed="false">
      <c r="A50" s="7" t="n">
        <v>49</v>
      </c>
      <c r="B50" s="7" t="s">
        <v>51</v>
      </c>
      <c r="C50" s="8" t="s">
        <v>215</v>
      </c>
      <c r="D50" s="9" t="s">
        <v>284</v>
      </c>
      <c r="E50" s="9" t="s">
        <v>285</v>
      </c>
      <c r="F50" s="14"/>
      <c r="G50" s="9" t="s">
        <v>286</v>
      </c>
      <c r="H50" s="14"/>
      <c r="I50" s="14"/>
      <c r="J50" s="9" t="s">
        <v>287</v>
      </c>
      <c r="K50" s="10" t="s">
        <v>288</v>
      </c>
      <c r="L50" s="11"/>
      <c r="M50" s="12" t="s">
        <v>36</v>
      </c>
      <c r="N50" s="13"/>
      <c r="O50" s="13"/>
      <c r="P50" s="11"/>
      <c r="Q50" s="11"/>
      <c r="R50" s="11"/>
    </row>
    <row r="51" customFormat="false" ht="39.55" hidden="false" customHeight="false" outlineLevel="0" collapsed="false">
      <c r="A51" s="7" t="n">
        <v>50</v>
      </c>
      <c r="B51" s="7" t="s">
        <v>74</v>
      </c>
      <c r="C51" s="8" t="s">
        <v>215</v>
      </c>
      <c r="D51" s="9" t="s">
        <v>289</v>
      </c>
      <c r="E51" s="9" t="s">
        <v>290</v>
      </c>
      <c r="F51" s="14"/>
      <c r="G51" s="14" t="s">
        <v>291</v>
      </c>
      <c r="H51" s="9" t="s">
        <v>292</v>
      </c>
      <c r="I51" s="9" t="s">
        <v>293</v>
      </c>
      <c r="J51" s="14" t="s">
        <v>294</v>
      </c>
      <c r="K51" s="10" t="s">
        <v>295</v>
      </c>
      <c r="L51" s="11"/>
      <c r="M51" s="12" t="s">
        <v>36</v>
      </c>
      <c r="N51" s="13"/>
      <c r="O51" s="13"/>
      <c r="P51" s="11"/>
      <c r="Q51" s="11"/>
      <c r="R51" s="11"/>
    </row>
    <row r="52" customFormat="false" ht="39.55" hidden="false" customHeight="false" outlineLevel="0" collapsed="false">
      <c r="A52" s="7" t="n">
        <v>51</v>
      </c>
      <c r="B52" s="7" t="s">
        <v>74</v>
      </c>
      <c r="C52" s="8" t="s">
        <v>215</v>
      </c>
      <c r="D52" s="9" t="s">
        <v>261</v>
      </c>
      <c r="E52" s="9" t="s">
        <v>296</v>
      </c>
      <c r="F52" s="14"/>
      <c r="G52" s="9" t="s">
        <v>297</v>
      </c>
      <c r="H52" s="14"/>
      <c r="I52" s="14"/>
      <c r="J52" s="9" t="s">
        <v>298</v>
      </c>
      <c r="K52" s="10" t="s">
        <v>272</v>
      </c>
      <c r="L52" s="11"/>
      <c r="M52" s="12" t="s">
        <v>36</v>
      </c>
      <c r="N52" s="13"/>
      <c r="O52" s="13"/>
      <c r="P52" s="11"/>
      <c r="Q52" s="11"/>
      <c r="R52" s="11"/>
    </row>
    <row r="53" customFormat="false" ht="39.55" hidden="false" customHeight="false" outlineLevel="0" collapsed="false">
      <c r="A53" s="7" t="n">
        <v>52</v>
      </c>
      <c r="B53" s="7" t="s">
        <v>74</v>
      </c>
      <c r="C53" s="8" t="s">
        <v>215</v>
      </c>
      <c r="D53" s="9" t="s">
        <v>299</v>
      </c>
      <c r="E53" s="9" t="s">
        <v>300</v>
      </c>
      <c r="F53" s="14"/>
      <c r="G53" s="9" t="s">
        <v>301</v>
      </c>
      <c r="H53" s="9" t="s">
        <v>302</v>
      </c>
      <c r="I53" s="9" t="s">
        <v>303</v>
      </c>
      <c r="J53" s="9" t="s">
        <v>304</v>
      </c>
      <c r="K53" s="10" t="s">
        <v>305</v>
      </c>
      <c r="L53" s="11"/>
      <c r="M53" s="12" t="s">
        <v>36</v>
      </c>
      <c r="N53" s="13"/>
      <c r="O53" s="13"/>
      <c r="P53" s="11"/>
      <c r="Q53" s="11"/>
      <c r="R53" s="11"/>
    </row>
    <row r="54" customFormat="false" ht="26.85" hidden="false" customHeight="false" outlineLevel="0" collapsed="false">
      <c r="A54" s="7" t="n">
        <v>53</v>
      </c>
      <c r="B54" s="7" t="s">
        <v>74</v>
      </c>
      <c r="C54" s="8" t="s">
        <v>215</v>
      </c>
      <c r="D54" s="9" t="s">
        <v>284</v>
      </c>
      <c r="E54" s="9" t="s">
        <v>306</v>
      </c>
      <c r="F54" s="14"/>
      <c r="G54" s="9" t="s">
        <v>307</v>
      </c>
      <c r="H54" s="9" t="s">
        <v>308</v>
      </c>
      <c r="I54" s="9" t="s">
        <v>309</v>
      </c>
      <c r="J54" s="14" t="s">
        <v>310</v>
      </c>
      <c r="K54" s="10" t="s">
        <v>311</v>
      </c>
      <c r="L54" s="11"/>
      <c r="M54" s="12" t="s">
        <v>36</v>
      </c>
      <c r="N54" s="13"/>
      <c r="O54" s="13"/>
      <c r="P54" s="11"/>
      <c r="Q54" s="11"/>
      <c r="R54" s="11"/>
    </row>
    <row r="55" customFormat="false" ht="39.55" hidden="false" customHeight="false" outlineLevel="0" collapsed="false">
      <c r="A55" s="7" t="n">
        <v>54</v>
      </c>
      <c r="B55" s="7" t="s">
        <v>74</v>
      </c>
      <c r="C55" s="8" t="s">
        <v>215</v>
      </c>
      <c r="D55" s="9" t="s">
        <v>312</v>
      </c>
      <c r="E55" s="9" t="s">
        <v>313</v>
      </c>
      <c r="F55" s="10" t="s">
        <v>314</v>
      </c>
      <c r="G55" s="14" t="s">
        <v>315</v>
      </c>
      <c r="H55" s="14"/>
      <c r="I55" s="14"/>
      <c r="J55" s="9" t="s">
        <v>316</v>
      </c>
      <c r="K55" s="10" t="s">
        <v>317</v>
      </c>
      <c r="L55" s="11"/>
      <c r="M55" s="12" t="s">
        <v>36</v>
      </c>
      <c r="N55" s="13"/>
      <c r="O55" s="13"/>
      <c r="P55" s="11"/>
      <c r="Q55" s="11"/>
      <c r="R55" s="11"/>
    </row>
    <row r="56" customFormat="false" ht="39.55" hidden="false" customHeight="false" outlineLevel="0" collapsed="false">
      <c r="A56" s="7" t="n">
        <v>55</v>
      </c>
      <c r="B56" s="7" t="s">
        <v>28</v>
      </c>
      <c r="C56" s="8" t="s">
        <v>318</v>
      </c>
      <c r="D56" s="9" t="s">
        <v>319</v>
      </c>
      <c r="E56" s="9" t="s">
        <v>320</v>
      </c>
      <c r="F56" s="14"/>
      <c r="G56" s="14" t="s">
        <v>321</v>
      </c>
      <c r="H56" s="14"/>
      <c r="I56" s="14"/>
      <c r="J56" s="9" t="s">
        <v>322</v>
      </c>
      <c r="K56" s="10" t="s">
        <v>323</v>
      </c>
      <c r="L56" s="11"/>
      <c r="M56" s="12" t="s">
        <v>36</v>
      </c>
      <c r="N56" s="13"/>
      <c r="O56" s="13"/>
      <c r="P56" s="11"/>
      <c r="Q56" s="11"/>
      <c r="R56" s="11"/>
    </row>
    <row r="57" customFormat="false" ht="39.55" hidden="false" customHeight="false" outlineLevel="0" collapsed="false">
      <c r="A57" s="7" t="n">
        <v>56</v>
      </c>
      <c r="B57" s="7" t="s">
        <v>28</v>
      </c>
      <c r="C57" s="8" t="s">
        <v>318</v>
      </c>
      <c r="D57" s="9" t="s">
        <v>324</v>
      </c>
      <c r="E57" s="9" t="s">
        <v>325</v>
      </c>
      <c r="F57" s="14"/>
      <c r="G57" s="14" t="s">
        <v>326</v>
      </c>
      <c r="H57" s="14"/>
      <c r="I57" s="14"/>
      <c r="J57" s="14" t="s">
        <v>327</v>
      </c>
      <c r="K57" s="10" t="s">
        <v>328</v>
      </c>
      <c r="L57" s="11"/>
      <c r="M57" s="12" t="s">
        <v>36</v>
      </c>
      <c r="N57" s="13"/>
      <c r="O57" s="13"/>
      <c r="P57" s="11"/>
      <c r="Q57" s="11"/>
      <c r="R57" s="11"/>
    </row>
    <row r="58" customFormat="false" ht="26.85" hidden="false" customHeight="false" outlineLevel="0" collapsed="false">
      <c r="A58" s="7" t="n">
        <v>57</v>
      </c>
      <c r="B58" s="7" t="s">
        <v>51</v>
      </c>
      <c r="C58" s="8" t="s">
        <v>318</v>
      </c>
      <c r="D58" s="14"/>
      <c r="E58" s="9" t="s">
        <v>329</v>
      </c>
      <c r="F58" s="14"/>
      <c r="G58" s="9" t="s">
        <v>330</v>
      </c>
      <c r="H58" s="14"/>
      <c r="I58" s="14"/>
      <c r="J58" s="9" t="s">
        <v>331</v>
      </c>
      <c r="K58" s="10" t="s">
        <v>332</v>
      </c>
      <c r="L58" s="11"/>
      <c r="M58" s="12" t="s">
        <v>36</v>
      </c>
      <c r="N58" s="13"/>
      <c r="O58" s="13"/>
      <c r="P58" s="11"/>
      <c r="Q58" s="11"/>
      <c r="R58" s="11"/>
    </row>
    <row r="59" customFormat="false" ht="26.85" hidden="false" customHeight="false" outlineLevel="0" collapsed="false">
      <c r="A59" s="7" t="n">
        <v>58</v>
      </c>
      <c r="B59" s="7" t="s">
        <v>51</v>
      </c>
      <c r="C59" s="8" t="s">
        <v>318</v>
      </c>
      <c r="D59" s="9" t="s">
        <v>333</v>
      </c>
      <c r="E59" s="9" t="s">
        <v>334</v>
      </c>
      <c r="F59" s="14"/>
      <c r="G59" s="9" t="s">
        <v>335</v>
      </c>
      <c r="H59" s="14"/>
      <c r="I59" s="14"/>
      <c r="J59" s="9" t="s">
        <v>336</v>
      </c>
      <c r="K59" s="10" t="s">
        <v>337</v>
      </c>
      <c r="L59" s="11"/>
      <c r="M59" s="12" t="s">
        <v>36</v>
      </c>
      <c r="N59" s="13"/>
      <c r="O59" s="13"/>
      <c r="P59" s="11"/>
      <c r="Q59" s="11"/>
      <c r="R59" s="11"/>
    </row>
    <row r="60" customFormat="false" ht="39.55" hidden="false" customHeight="false" outlineLevel="0" collapsed="false">
      <c r="A60" s="7" t="n">
        <v>59</v>
      </c>
      <c r="B60" s="7" t="s">
        <v>51</v>
      </c>
      <c r="C60" s="8" t="s">
        <v>318</v>
      </c>
      <c r="D60" s="9" t="s">
        <v>338</v>
      </c>
      <c r="E60" s="9" t="s">
        <v>339</v>
      </c>
      <c r="F60" s="10" t="s">
        <v>340</v>
      </c>
      <c r="G60" s="9" t="s">
        <v>341</v>
      </c>
      <c r="H60" s="14"/>
      <c r="I60" s="14"/>
      <c r="J60" s="9" t="s">
        <v>342</v>
      </c>
      <c r="K60" s="10" t="s">
        <v>340</v>
      </c>
      <c r="L60" s="11"/>
      <c r="M60" s="12" t="s">
        <v>36</v>
      </c>
      <c r="N60" s="13"/>
      <c r="O60" s="13"/>
      <c r="P60" s="11"/>
      <c r="Q60" s="11"/>
      <c r="R60" s="11"/>
    </row>
    <row r="61" customFormat="false" ht="26.85" hidden="false" customHeight="false" outlineLevel="0" collapsed="false">
      <c r="A61" s="7" t="n">
        <v>60</v>
      </c>
      <c r="B61" s="7" t="s">
        <v>51</v>
      </c>
      <c r="C61" s="8" t="s">
        <v>318</v>
      </c>
      <c r="D61" s="9" t="s">
        <v>324</v>
      </c>
      <c r="E61" s="9" t="s">
        <v>343</v>
      </c>
      <c r="F61" s="14"/>
      <c r="G61" s="9" t="s">
        <v>344</v>
      </c>
      <c r="H61" s="14"/>
      <c r="I61" s="14"/>
      <c r="J61" s="9" t="s">
        <v>345</v>
      </c>
      <c r="K61" s="10" t="s">
        <v>328</v>
      </c>
      <c r="L61" s="11"/>
      <c r="M61" s="12" t="s">
        <v>36</v>
      </c>
      <c r="N61" s="13"/>
      <c r="O61" s="13"/>
      <c r="P61" s="11"/>
      <c r="Q61" s="11"/>
      <c r="R61" s="11"/>
    </row>
    <row r="62" customFormat="false" ht="26.85" hidden="false" customHeight="false" outlineLevel="0" collapsed="false">
      <c r="A62" s="7" t="n">
        <v>61</v>
      </c>
      <c r="B62" s="7" t="s">
        <v>51</v>
      </c>
      <c r="C62" s="8" t="s">
        <v>318</v>
      </c>
      <c r="D62" s="9" t="s">
        <v>324</v>
      </c>
      <c r="E62" s="9" t="s">
        <v>346</v>
      </c>
      <c r="F62" s="10" t="s">
        <v>347</v>
      </c>
      <c r="G62" s="9" t="s">
        <v>348</v>
      </c>
      <c r="H62" s="14"/>
      <c r="I62" s="14"/>
      <c r="J62" s="9" t="s">
        <v>349</v>
      </c>
      <c r="K62" s="10" t="s">
        <v>328</v>
      </c>
      <c r="L62" s="11"/>
      <c r="M62" s="12" t="s">
        <v>36</v>
      </c>
      <c r="N62" s="13"/>
      <c r="O62" s="13"/>
      <c r="P62" s="11"/>
      <c r="Q62" s="11"/>
      <c r="R62" s="11"/>
    </row>
    <row r="63" customFormat="false" ht="26.85" hidden="false" customHeight="false" outlineLevel="0" collapsed="false">
      <c r="A63" s="7" t="n">
        <v>62</v>
      </c>
      <c r="B63" s="7" t="s">
        <v>51</v>
      </c>
      <c r="C63" s="8" t="s">
        <v>318</v>
      </c>
      <c r="D63" s="9" t="s">
        <v>350</v>
      </c>
      <c r="E63" s="9" t="s">
        <v>351</v>
      </c>
      <c r="F63" s="14"/>
      <c r="G63" s="9" t="s">
        <v>352</v>
      </c>
      <c r="H63" s="14"/>
      <c r="I63" s="14"/>
      <c r="J63" s="9" t="s">
        <v>353</v>
      </c>
      <c r="K63" s="10" t="s">
        <v>354</v>
      </c>
      <c r="L63" s="11"/>
      <c r="M63" s="12" t="s">
        <v>36</v>
      </c>
      <c r="N63" s="13"/>
      <c r="O63" s="13"/>
      <c r="P63" s="11"/>
      <c r="Q63" s="11"/>
      <c r="R63" s="11"/>
    </row>
    <row r="64" customFormat="false" ht="39.55" hidden="false" customHeight="false" outlineLevel="0" collapsed="false">
      <c r="A64" s="7" t="n">
        <v>63</v>
      </c>
      <c r="B64" s="7" t="s">
        <v>74</v>
      </c>
      <c r="C64" s="8" t="s">
        <v>318</v>
      </c>
      <c r="D64" s="14"/>
      <c r="E64" s="9" t="s">
        <v>355</v>
      </c>
      <c r="F64" s="14"/>
      <c r="G64" s="9" t="s">
        <v>356</v>
      </c>
      <c r="H64" s="14"/>
      <c r="I64" s="14"/>
      <c r="J64" s="9" t="s">
        <v>357</v>
      </c>
      <c r="K64" s="10" t="s">
        <v>328</v>
      </c>
      <c r="L64" s="11"/>
      <c r="M64" s="12" t="s">
        <v>36</v>
      </c>
      <c r="N64" s="13"/>
      <c r="O64" s="13"/>
      <c r="P64" s="11"/>
      <c r="Q64" s="11"/>
      <c r="R64" s="11"/>
    </row>
    <row r="65" customFormat="false" ht="26.85" hidden="false" customHeight="false" outlineLevel="0" collapsed="false">
      <c r="A65" s="7" t="n">
        <v>64</v>
      </c>
      <c r="B65" s="7" t="s">
        <v>74</v>
      </c>
      <c r="C65" s="8" t="s">
        <v>318</v>
      </c>
      <c r="D65" s="14"/>
      <c r="E65" s="9" t="s">
        <v>358</v>
      </c>
      <c r="F65" s="14"/>
      <c r="G65" s="9" t="s">
        <v>359</v>
      </c>
      <c r="H65" s="14"/>
      <c r="I65" s="9" t="s">
        <v>360</v>
      </c>
      <c r="J65" s="9" t="s">
        <v>361</v>
      </c>
      <c r="K65" s="10" t="s">
        <v>332</v>
      </c>
      <c r="L65" s="11"/>
      <c r="M65" s="12" t="s">
        <v>36</v>
      </c>
      <c r="N65" s="13"/>
      <c r="O65" s="13"/>
      <c r="P65" s="11"/>
      <c r="Q65" s="11"/>
      <c r="R65" s="11"/>
    </row>
    <row r="66" customFormat="false" ht="26.85" hidden="false" customHeight="false" outlineLevel="0" collapsed="false">
      <c r="A66" s="7" t="n">
        <v>65</v>
      </c>
      <c r="B66" s="7" t="s">
        <v>74</v>
      </c>
      <c r="C66" s="8" t="s">
        <v>318</v>
      </c>
      <c r="D66" s="14"/>
      <c r="E66" s="9" t="s">
        <v>362</v>
      </c>
      <c r="F66" s="14"/>
      <c r="G66" s="9" t="s">
        <v>363</v>
      </c>
      <c r="H66" s="14"/>
      <c r="I66" s="14"/>
      <c r="J66" s="9" t="s">
        <v>364</v>
      </c>
      <c r="K66" s="10" t="s">
        <v>365</v>
      </c>
      <c r="L66" s="11"/>
      <c r="M66" s="12" t="s">
        <v>36</v>
      </c>
      <c r="N66" s="13"/>
      <c r="O66" s="13"/>
      <c r="P66" s="11"/>
      <c r="Q66" s="11"/>
      <c r="R66" s="11"/>
    </row>
    <row r="67" customFormat="false" ht="26.85" hidden="false" customHeight="false" outlineLevel="0" collapsed="false">
      <c r="A67" s="7" t="n">
        <v>66</v>
      </c>
      <c r="B67" s="7" t="s">
        <v>74</v>
      </c>
      <c r="C67" s="8" t="s">
        <v>318</v>
      </c>
      <c r="D67" s="14"/>
      <c r="E67" s="9" t="s">
        <v>366</v>
      </c>
      <c r="F67" s="14"/>
      <c r="G67" s="9" t="s">
        <v>367</v>
      </c>
      <c r="H67" s="14"/>
      <c r="I67" s="14"/>
      <c r="J67" s="9" t="s">
        <v>368</v>
      </c>
      <c r="K67" s="10" t="s">
        <v>369</v>
      </c>
      <c r="L67" s="11"/>
      <c r="M67" s="12" t="s">
        <v>36</v>
      </c>
      <c r="N67" s="13"/>
      <c r="O67" s="13"/>
      <c r="P67" s="11"/>
      <c r="Q67" s="11"/>
      <c r="R67" s="11"/>
    </row>
    <row r="68" customFormat="false" ht="26.85" hidden="false" customHeight="false" outlineLevel="0" collapsed="false">
      <c r="A68" s="7" t="n">
        <v>67</v>
      </c>
      <c r="B68" s="7" t="s">
        <v>74</v>
      </c>
      <c r="C68" s="8" t="s">
        <v>318</v>
      </c>
      <c r="D68" s="14"/>
      <c r="E68" s="9" t="s">
        <v>370</v>
      </c>
      <c r="F68" s="14"/>
      <c r="G68" s="9" t="s">
        <v>371</v>
      </c>
      <c r="H68" s="14"/>
      <c r="I68" s="14"/>
      <c r="J68" s="9" t="s">
        <v>372</v>
      </c>
      <c r="K68" s="10" t="s">
        <v>369</v>
      </c>
      <c r="L68" s="11"/>
      <c r="M68" s="12" t="s">
        <v>36</v>
      </c>
      <c r="N68" s="13"/>
      <c r="O68" s="13"/>
      <c r="P68" s="11"/>
      <c r="Q68" s="11"/>
      <c r="R68" s="11"/>
    </row>
    <row r="69" customFormat="false" ht="26.85" hidden="false" customHeight="false" outlineLevel="0" collapsed="false">
      <c r="A69" s="7" t="n">
        <v>68</v>
      </c>
      <c r="B69" s="7" t="s">
        <v>74</v>
      </c>
      <c r="C69" s="8" t="s">
        <v>318</v>
      </c>
      <c r="D69" s="14"/>
      <c r="E69" s="9" t="s">
        <v>373</v>
      </c>
      <c r="F69" s="14"/>
      <c r="G69" s="9" t="s">
        <v>374</v>
      </c>
      <c r="H69" s="14"/>
      <c r="I69" s="14"/>
      <c r="J69" s="9" t="s">
        <v>372</v>
      </c>
      <c r="K69" s="10" t="s">
        <v>369</v>
      </c>
      <c r="L69" s="11"/>
      <c r="M69" s="12" t="s">
        <v>36</v>
      </c>
      <c r="N69" s="13"/>
      <c r="O69" s="13"/>
      <c r="P69" s="11"/>
      <c r="Q69" s="11"/>
      <c r="R69" s="11"/>
    </row>
    <row r="70" customFormat="false" ht="26.85" hidden="false" customHeight="false" outlineLevel="0" collapsed="false">
      <c r="A70" s="7" t="n">
        <v>69</v>
      </c>
      <c r="B70" s="7" t="s">
        <v>74</v>
      </c>
      <c r="C70" s="8" t="s">
        <v>318</v>
      </c>
      <c r="D70" s="14"/>
      <c r="E70" s="9" t="s">
        <v>375</v>
      </c>
      <c r="F70" s="14"/>
      <c r="G70" s="9" t="s">
        <v>376</v>
      </c>
      <c r="H70" s="14"/>
      <c r="I70" s="14"/>
      <c r="J70" s="9" t="s">
        <v>377</v>
      </c>
      <c r="K70" s="10" t="s">
        <v>378</v>
      </c>
      <c r="L70" s="11"/>
      <c r="M70" s="12" t="s">
        <v>36</v>
      </c>
      <c r="N70" s="13"/>
      <c r="O70" s="13"/>
      <c r="P70" s="11"/>
      <c r="Q70" s="11"/>
      <c r="R70" s="11"/>
    </row>
    <row r="71" customFormat="false" ht="26.85" hidden="false" customHeight="false" outlineLevel="0" collapsed="false">
      <c r="A71" s="7" t="n">
        <v>70</v>
      </c>
      <c r="B71" s="7" t="s">
        <v>74</v>
      </c>
      <c r="C71" s="8" t="s">
        <v>318</v>
      </c>
      <c r="D71" s="9" t="s">
        <v>319</v>
      </c>
      <c r="E71" s="9" t="s">
        <v>379</v>
      </c>
      <c r="F71" s="14"/>
      <c r="G71" s="9" t="s">
        <v>380</v>
      </c>
      <c r="H71" s="14"/>
      <c r="I71" s="14"/>
      <c r="J71" s="9" t="s">
        <v>381</v>
      </c>
      <c r="K71" s="10" t="s">
        <v>323</v>
      </c>
      <c r="L71" s="11"/>
      <c r="M71" s="12" t="s">
        <v>36</v>
      </c>
      <c r="N71" s="13"/>
      <c r="O71" s="13"/>
      <c r="P71" s="11"/>
      <c r="Q71" s="11"/>
      <c r="R71" s="11"/>
    </row>
    <row r="72" customFormat="false" ht="39.55" hidden="false" customHeight="false" outlineLevel="0" collapsed="false">
      <c r="A72" s="7" t="n">
        <v>71</v>
      </c>
      <c r="B72" s="7" t="s">
        <v>28</v>
      </c>
      <c r="C72" s="8" t="s">
        <v>382</v>
      </c>
      <c r="D72" s="9" t="s">
        <v>383</v>
      </c>
      <c r="E72" s="9" t="s">
        <v>384</v>
      </c>
      <c r="F72" s="10" t="s">
        <v>385</v>
      </c>
      <c r="G72" s="9" t="s">
        <v>386</v>
      </c>
      <c r="H72" s="14" t="s">
        <v>387</v>
      </c>
      <c r="I72" s="14"/>
      <c r="J72" s="9" t="s">
        <v>388</v>
      </c>
      <c r="K72" s="10" t="s">
        <v>385</v>
      </c>
      <c r="L72" s="11"/>
      <c r="M72" s="12" t="s">
        <v>36</v>
      </c>
      <c r="N72" s="13"/>
      <c r="O72" s="13"/>
      <c r="P72" s="11"/>
      <c r="Q72" s="11"/>
      <c r="R72" s="11"/>
    </row>
    <row r="73" customFormat="false" ht="39.55" hidden="false" customHeight="false" outlineLevel="0" collapsed="false">
      <c r="A73" s="7" t="n">
        <v>72</v>
      </c>
      <c r="B73" s="7" t="s">
        <v>28</v>
      </c>
      <c r="C73" s="8" t="s">
        <v>382</v>
      </c>
      <c r="D73" s="9" t="s">
        <v>389</v>
      </c>
      <c r="E73" s="9" t="s">
        <v>390</v>
      </c>
      <c r="F73" s="14"/>
      <c r="G73" s="9" t="s">
        <v>391</v>
      </c>
      <c r="H73" s="9" t="s">
        <v>392</v>
      </c>
      <c r="I73" s="14" t="s">
        <v>393</v>
      </c>
      <c r="J73" s="9" t="s">
        <v>394</v>
      </c>
      <c r="K73" s="10" t="s">
        <v>395</v>
      </c>
      <c r="L73" s="11"/>
      <c r="M73" s="12" t="s">
        <v>36</v>
      </c>
      <c r="N73" s="13"/>
      <c r="O73" s="13"/>
      <c r="P73" s="11"/>
      <c r="Q73" s="11"/>
      <c r="R73" s="11"/>
    </row>
    <row r="74" customFormat="false" ht="39.55" hidden="false" customHeight="false" outlineLevel="0" collapsed="false">
      <c r="A74" s="7" t="n">
        <v>73</v>
      </c>
      <c r="B74" s="7" t="s">
        <v>51</v>
      </c>
      <c r="C74" s="8" t="s">
        <v>382</v>
      </c>
      <c r="D74" s="9" t="s">
        <v>396</v>
      </c>
      <c r="E74" s="9" t="s">
        <v>397</v>
      </c>
      <c r="F74" s="10" t="s">
        <v>398</v>
      </c>
      <c r="G74" s="9" t="s">
        <v>399</v>
      </c>
      <c r="H74" s="14"/>
      <c r="I74" s="14"/>
      <c r="J74" s="9" t="s">
        <v>400</v>
      </c>
      <c r="K74" s="10" t="s">
        <v>398</v>
      </c>
      <c r="L74" s="11"/>
      <c r="M74" s="12" t="s">
        <v>36</v>
      </c>
      <c r="N74" s="13"/>
      <c r="O74" s="13"/>
      <c r="P74" s="11"/>
      <c r="Q74" s="11"/>
      <c r="R74" s="11"/>
    </row>
    <row r="75" customFormat="false" ht="26.85" hidden="false" customHeight="false" outlineLevel="0" collapsed="false">
      <c r="A75" s="7" t="n">
        <v>74</v>
      </c>
      <c r="B75" s="7" t="s">
        <v>51</v>
      </c>
      <c r="C75" s="8" t="s">
        <v>382</v>
      </c>
      <c r="D75" s="9" t="s">
        <v>396</v>
      </c>
      <c r="E75" s="9" t="s">
        <v>401</v>
      </c>
      <c r="F75" s="10" t="s">
        <v>402</v>
      </c>
      <c r="G75" s="14" t="s">
        <v>403</v>
      </c>
      <c r="H75" s="14"/>
      <c r="I75" s="14"/>
      <c r="J75" s="9" t="s">
        <v>404</v>
      </c>
      <c r="K75" s="10" t="s">
        <v>402</v>
      </c>
      <c r="L75" s="11"/>
      <c r="M75" s="12" t="s">
        <v>36</v>
      </c>
      <c r="N75" s="13"/>
      <c r="O75" s="13"/>
      <c r="P75" s="11"/>
      <c r="Q75" s="11"/>
      <c r="R75" s="11"/>
    </row>
    <row r="76" customFormat="false" ht="26.85" hidden="false" customHeight="false" outlineLevel="0" collapsed="false">
      <c r="A76" s="7" t="n">
        <v>75</v>
      </c>
      <c r="B76" s="7" t="s">
        <v>51</v>
      </c>
      <c r="C76" s="8" t="s">
        <v>382</v>
      </c>
      <c r="D76" s="9" t="s">
        <v>396</v>
      </c>
      <c r="E76" s="9" t="s">
        <v>405</v>
      </c>
      <c r="F76" s="10" t="s">
        <v>406</v>
      </c>
      <c r="G76" s="9" t="s">
        <v>407</v>
      </c>
      <c r="H76" s="14"/>
      <c r="I76" s="14"/>
      <c r="J76" s="9" t="s">
        <v>408</v>
      </c>
      <c r="K76" s="10" t="s">
        <v>406</v>
      </c>
      <c r="L76" s="11"/>
      <c r="M76" s="12" t="s">
        <v>36</v>
      </c>
      <c r="N76" s="13"/>
      <c r="O76" s="13"/>
      <c r="P76" s="11"/>
      <c r="Q76" s="11"/>
      <c r="R76" s="11"/>
    </row>
    <row r="77" customFormat="false" ht="52.2" hidden="false" customHeight="false" outlineLevel="0" collapsed="false">
      <c r="A77" s="7" t="n">
        <v>76</v>
      </c>
      <c r="B77" s="7" t="s">
        <v>51</v>
      </c>
      <c r="C77" s="8" t="s">
        <v>382</v>
      </c>
      <c r="D77" s="9" t="s">
        <v>409</v>
      </c>
      <c r="E77" s="9" t="s">
        <v>410</v>
      </c>
      <c r="F77" s="14"/>
      <c r="G77" s="9" t="s">
        <v>411</v>
      </c>
      <c r="H77" s="14" t="s">
        <v>412</v>
      </c>
      <c r="I77" s="14"/>
      <c r="J77" s="9" t="s">
        <v>413</v>
      </c>
      <c r="K77" s="10" t="s">
        <v>414</v>
      </c>
      <c r="L77" s="11"/>
      <c r="M77" s="12" t="s">
        <v>36</v>
      </c>
      <c r="N77" s="13"/>
      <c r="O77" s="13"/>
      <c r="P77" s="11"/>
      <c r="Q77" s="11"/>
      <c r="R77" s="11"/>
    </row>
    <row r="78" customFormat="false" ht="39.55" hidden="false" customHeight="false" outlineLevel="0" collapsed="false">
      <c r="A78" s="7" t="n">
        <v>77</v>
      </c>
      <c r="B78" s="7" t="s">
        <v>51</v>
      </c>
      <c r="C78" s="8" t="s">
        <v>382</v>
      </c>
      <c r="D78" s="9" t="s">
        <v>409</v>
      </c>
      <c r="E78" s="9" t="s">
        <v>415</v>
      </c>
      <c r="F78" s="10" t="s">
        <v>416</v>
      </c>
      <c r="G78" s="9" t="s">
        <v>417</v>
      </c>
      <c r="H78" s="14"/>
      <c r="I78" s="14"/>
      <c r="J78" s="9" t="s">
        <v>418</v>
      </c>
      <c r="K78" s="10" t="s">
        <v>416</v>
      </c>
      <c r="L78" s="11"/>
      <c r="M78" s="12" t="s">
        <v>36</v>
      </c>
      <c r="N78" s="13"/>
      <c r="O78" s="13"/>
      <c r="P78" s="11"/>
      <c r="Q78" s="11"/>
      <c r="R78" s="11"/>
    </row>
    <row r="79" customFormat="false" ht="26.85" hidden="false" customHeight="false" outlineLevel="0" collapsed="false">
      <c r="A79" s="7" t="n">
        <v>78</v>
      </c>
      <c r="B79" s="7" t="s">
        <v>51</v>
      </c>
      <c r="C79" s="8" t="s">
        <v>382</v>
      </c>
      <c r="D79" s="9" t="s">
        <v>409</v>
      </c>
      <c r="E79" s="9" t="s">
        <v>419</v>
      </c>
      <c r="F79" s="10" t="s">
        <v>420</v>
      </c>
      <c r="G79" s="9" t="s">
        <v>421</v>
      </c>
      <c r="H79" s="14"/>
      <c r="I79" s="14"/>
      <c r="J79" s="9" t="s">
        <v>422</v>
      </c>
      <c r="K79" s="10" t="s">
        <v>420</v>
      </c>
      <c r="L79" s="11"/>
      <c r="M79" s="12" t="s">
        <v>36</v>
      </c>
      <c r="N79" s="13"/>
      <c r="O79" s="13"/>
      <c r="P79" s="11"/>
      <c r="Q79" s="11"/>
      <c r="R79" s="11"/>
    </row>
    <row r="80" customFormat="false" ht="26.85" hidden="false" customHeight="false" outlineLevel="0" collapsed="false">
      <c r="A80" s="7" t="n">
        <v>79</v>
      </c>
      <c r="B80" s="7" t="s">
        <v>51</v>
      </c>
      <c r="C80" s="8" t="s">
        <v>382</v>
      </c>
      <c r="D80" s="9" t="s">
        <v>409</v>
      </c>
      <c r="E80" s="9" t="s">
        <v>423</v>
      </c>
      <c r="F80" s="10" t="s">
        <v>424</v>
      </c>
      <c r="G80" s="9" t="s">
        <v>425</v>
      </c>
      <c r="H80" s="14"/>
      <c r="I80" s="14"/>
      <c r="J80" s="9" t="s">
        <v>426</v>
      </c>
      <c r="K80" s="10" t="s">
        <v>424</v>
      </c>
      <c r="L80" s="11"/>
      <c r="M80" s="12" t="s">
        <v>36</v>
      </c>
      <c r="N80" s="13"/>
      <c r="O80" s="13"/>
      <c r="P80" s="11"/>
      <c r="Q80" s="11"/>
      <c r="R80" s="11"/>
    </row>
    <row r="81" customFormat="false" ht="64.9" hidden="false" customHeight="false" outlineLevel="0" collapsed="false">
      <c r="A81" s="7" t="n">
        <v>80</v>
      </c>
      <c r="B81" s="7" t="s">
        <v>74</v>
      </c>
      <c r="C81" s="8" t="s">
        <v>382</v>
      </c>
      <c r="D81" s="14"/>
      <c r="E81" s="9" t="s">
        <v>427</v>
      </c>
      <c r="F81" s="14"/>
      <c r="G81" s="9" t="s">
        <v>428</v>
      </c>
      <c r="H81" s="14"/>
      <c r="I81" s="9" t="s">
        <v>429</v>
      </c>
      <c r="J81" s="9" t="s">
        <v>430</v>
      </c>
      <c r="K81" s="10" t="s">
        <v>431</v>
      </c>
      <c r="L81" s="11"/>
      <c r="M81" s="12" t="s">
        <v>36</v>
      </c>
      <c r="N81" s="13"/>
      <c r="O81" s="13"/>
      <c r="P81" s="11"/>
      <c r="Q81" s="11"/>
      <c r="R81" s="11"/>
    </row>
    <row r="82" customFormat="false" ht="39.55" hidden="false" customHeight="false" outlineLevel="0" collapsed="false">
      <c r="A82" s="7" t="n">
        <v>81</v>
      </c>
      <c r="B82" s="7" t="s">
        <v>74</v>
      </c>
      <c r="C82" s="8" t="s">
        <v>382</v>
      </c>
      <c r="D82" s="14"/>
      <c r="E82" s="9" t="s">
        <v>432</v>
      </c>
      <c r="F82" s="14"/>
      <c r="G82" s="9" t="s">
        <v>433</v>
      </c>
      <c r="H82" s="9" t="s">
        <v>434</v>
      </c>
      <c r="I82" s="14"/>
      <c r="J82" s="9" t="s">
        <v>435</v>
      </c>
      <c r="K82" s="10" t="s">
        <v>436</v>
      </c>
      <c r="L82" s="11"/>
      <c r="M82" s="12" t="s">
        <v>36</v>
      </c>
      <c r="N82" s="13"/>
      <c r="O82" s="13"/>
      <c r="P82" s="11"/>
      <c r="Q82" s="11"/>
      <c r="R82" s="11"/>
    </row>
    <row r="83" customFormat="false" ht="26.85" hidden="false" customHeight="false" outlineLevel="0" collapsed="false">
      <c r="A83" s="7" t="n">
        <v>82</v>
      </c>
      <c r="B83" s="7" t="s">
        <v>74</v>
      </c>
      <c r="C83" s="8" t="s">
        <v>382</v>
      </c>
      <c r="D83" s="9" t="s">
        <v>389</v>
      </c>
      <c r="E83" s="9" t="s">
        <v>437</v>
      </c>
      <c r="F83" s="14"/>
      <c r="G83" s="9" t="s">
        <v>438</v>
      </c>
      <c r="H83" s="14"/>
      <c r="I83" s="14"/>
      <c r="J83" s="9" t="s">
        <v>439</v>
      </c>
      <c r="K83" s="10" t="s">
        <v>440</v>
      </c>
      <c r="L83" s="11"/>
      <c r="M83" s="12" t="s">
        <v>36</v>
      </c>
      <c r="N83" s="13"/>
      <c r="O83" s="13"/>
      <c r="P83" s="11"/>
      <c r="Q83" s="11"/>
      <c r="R83" s="11"/>
    </row>
    <row r="84" customFormat="false" ht="26.85" hidden="false" customHeight="false" outlineLevel="0" collapsed="false">
      <c r="A84" s="7" t="n">
        <v>83</v>
      </c>
      <c r="B84" s="7" t="s">
        <v>74</v>
      </c>
      <c r="C84" s="8" t="s">
        <v>382</v>
      </c>
      <c r="D84" s="9" t="s">
        <v>409</v>
      </c>
      <c r="E84" s="9" t="s">
        <v>441</v>
      </c>
      <c r="F84" s="10" t="s">
        <v>442</v>
      </c>
      <c r="G84" s="9" t="s">
        <v>443</v>
      </c>
      <c r="H84" s="14"/>
      <c r="I84" s="14"/>
      <c r="J84" s="9" t="s">
        <v>444</v>
      </c>
      <c r="K84" s="10" t="s">
        <v>442</v>
      </c>
      <c r="L84" s="11"/>
      <c r="M84" s="12" t="s">
        <v>36</v>
      </c>
      <c r="N84" s="13"/>
      <c r="O84" s="13"/>
      <c r="P84" s="11"/>
      <c r="Q84" s="11"/>
      <c r="R84" s="11"/>
    </row>
    <row r="85" customFormat="false" ht="39.55" hidden="false" customHeight="false" outlineLevel="0" collapsed="false">
      <c r="A85" s="7" t="n">
        <v>84</v>
      </c>
      <c r="B85" s="7" t="s">
        <v>74</v>
      </c>
      <c r="C85" s="8" t="s">
        <v>382</v>
      </c>
      <c r="D85" s="9" t="s">
        <v>409</v>
      </c>
      <c r="E85" s="9" t="s">
        <v>445</v>
      </c>
      <c r="F85" s="14"/>
      <c r="G85" s="9" t="s">
        <v>446</v>
      </c>
      <c r="H85" s="14"/>
      <c r="I85" s="14"/>
      <c r="J85" s="9" t="s">
        <v>447</v>
      </c>
      <c r="K85" s="10" t="s">
        <v>448</v>
      </c>
      <c r="L85" s="11"/>
      <c r="M85" s="12" t="s">
        <v>36</v>
      </c>
      <c r="N85" s="13"/>
      <c r="O85" s="13"/>
      <c r="P85" s="11"/>
      <c r="Q85" s="11"/>
      <c r="R85" s="11"/>
    </row>
    <row r="86" customFormat="false" ht="26.85" hidden="false" customHeight="false" outlineLevel="0" collapsed="false">
      <c r="A86" s="7" t="n">
        <v>85</v>
      </c>
      <c r="B86" s="7" t="s">
        <v>74</v>
      </c>
      <c r="C86" s="8" t="s">
        <v>382</v>
      </c>
      <c r="D86" s="9" t="s">
        <v>409</v>
      </c>
      <c r="E86" s="9" t="s">
        <v>449</v>
      </c>
      <c r="F86" s="14"/>
      <c r="G86" s="14" t="s">
        <v>450</v>
      </c>
      <c r="H86" s="9" t="s">
        <v>451</v>
      </c>
      <c r="I86" s="14"/>
      <c r="J86" s="9" t="s">
        <v>452</v>
      </c>
      <c r="K86" s="10" t="s">
        <v>453</v>
      </c>
      <c r="L86" s="11"/>
      <c r="M86" s="12" t="s">
        <v>36</v>
      </c>
      <c r="N86" s="13"/>
      <c r="O86" s="13"/>
      <c r="P86" s="11"/>
      <c r="Q86" s="11"/>
      <c r="R86" s="11"/>
    </row>
    <row r="87" customFormat="false" ht="26.85" hidden="false" customHeight="false" outlineLevel="0" collapsed="false">
      <c r="A87" s="7" t="n">
        <v>86</v>
      </c>
      <c r="B87" s="7" t="s">
        <v>74</v>
      </c>
      <c r="C87" s="8" t="s">
        <v>382</v>
      </c>
      <c r="D87" s="9" t="s">
        <v>454</v>
      </c>
      <c r="E87" s="9" t="s">
        <v>455</v>
      </c>
      <c r="F87" s="14"/>
      <c r="G87" s="9" t="s">
        <v>456</v>
      </c>
      <c r="H87" s="14"/>
      <c r="I87" s="14"/>
      <c r="J87" s="9" t="s">
        <v>457</v>
      </c>
      <c r="K87" s="10" t="s">
        <v>458</v>
      </c>
      <c r="L87" s="11"/>
      <c r="M87" s="12" t="s">
        <v>36</v>
      </c>
      <c r="N87" s="13"/>
      <c r="O87" s="13"/>
      <c r="P87" s="11"/>
      <c r="Q87" s="11"/>
      <c r="R87" s="11"/>
    </row>
    <row r="88" customFormat="false" ht="52.2" hidden="false" customHeight="false" outlineLevel="0" collapsed="false">
      <c r="A88" s="7" t="n">
        <v>87</v>
      </c>
      <c r="B88" s="7" t="s">
        <v>28</v>
      </c>
      <c r="C88" s="8" t="s">
        <v>459</v>
      </c>
      <c r="D88" s="9" t="s">
        <v>460</v>
      </c>
      <c r="E88" s="9" t="s">
        <v>461</v>
      </c>
      <c r="F88" s="14"/>
      <c r="G88" s="9" t="s">
        <v>462</v>
      </c>
      <c r="H88" s="14" t="s">
        <v>463</v>
      </c>
      <c r="I88" s="14"/>
      <c r="J88" s="9" t="s">
        <v>464</v>
      </c>
      <c r="K88" s="10" t="s">
        <v>465</v>
      </c>
      <c r="L88" s="11"/>
      <c r="M88" s="12" t="s">
        <v>36</v>
      </c>
      <c r="N88" s="13"/>
      <c r="O88" s="13"/>
      <c r="P88" s="11"/>
      <c r="Q88" s="11"/>
      <c r="R88" s="11"/>
    </row>
    <row r="89" customFormat="false" ht="39.55" hidden="false" customHeight="false" outlineLevel="0" collapsed="false">
      <c r="A89" s="7" t="n">
        <v>88</v>
      </c>
      <c r="B89" s="7" t="s">
        <v>28</v>
      </c>
      <c r="C89" s="8" t="s">
        <v>459</v>
      </c>
      <c r="D89" s="9" t="s">
        <v>466</v>
      </c>
      <c r="E89" s="9" t="s">
        <v>467</v>
      </c>
      <c r="F89" s="10" t="s">
        <v>468</v>
      </c>
      <c r="G89" s="9" t="s">
        <v>469</v>
      </c>
      <c r="H89" s="9" t="s">
        <v>470</v>
      </c>
      <c r="I89" s="14"/>
      <c r="J89" s="9" t="s">
        <v>471</v>
      </c>
      <c r="K89" s="10" t="s">
        <v>468</v>
      </c>
      <c r="L89" s="11"/>
      <c r="M89" s="12" t="s">
        <v>36</v>
      </c>
      <c r="N89" s="13"/>
      <c r="O89" s="13"/>
      <c r="P89" s="11"/>
      <c r="Q89" s="11"/>
      <c r="R89" s="11"/>
    </row>
    <row r="90" customFormat="false" ht="39.55" hidden="false" customHeight="false" outlineLevel="0" collapsed="false">
      <c r="A90" s="7" t="n">
        <v>89</v>
      </c>
      <c r="B90" s="7" t="s">
        <v>28</v>
      </c>
      <c r="C90" s="8" t="s">
        <v>459</v>
      </c>
      <c r="D90" s="9" t="s">
        <v>472</v>
      </c>
      <c r="E90" s="9" t="s">
        <v>473</v>
      </c>
      <c r="F90" s="10" t="s">
        <v>474</v>
      </c>
      <c r="G90" s="9" t="s">
        <v>475</v>
      </c>
      <c r="H90" s="9" t="s">
        <v>476</v>
      </c>
      <c r="I90" s="14"/>
      <c r="J90" s="9" t="s">
        <v>477</v>
      </c>
      <c r="K90" s="10" t="s">
        <v>474</v>
      </c>
      <c r="L90" s="11"/>
      <c r="M90" s="12" t="s">
        <v>36</v>
      </c>
      <c r="N90" s="13"/>
      <c r="O90" s="13"/>
      <c r="P90" s="11"/>
      <c r="Q90" s="11"/>
      <c r="R90" s="11"/>
    </row>
    <row r="91" customFormat="false" ht="39.55" hidden="false" customHeight="false" outlineLevel="0" collapsed="false">
      <c r="A91" s="7" t="n">
        <v>90</v>
      </c>
      <c r="B91" s="7" t="s">
        <v>51</v>
      </c>
      <c r="C91" s="8" t="s">
        <v>459</v>
      </c>
      <c r="D91" s="14"/>
      <c r="E91" s="9" t="s">
        <v>478</v>
      </c>
      <c r="F91" s="14"/>
      <c r="G91" s="14" t="s">
        <v>479</v>
      </c>
      <c r="H91" s="9" t="s">
        <v>480</v>
      </c>
      <c r="I91" s="14"/>
      <c r="J91" s="9" t="s">
        <v>481</v>
      </c>
      <c r="K91" s="10" t="s">
        <v>482</v>
      </c>
      <c r="L91" s="11"/>
      <c r="M91" s="12" t="s">
        <v>36</v>
      </c>
      <c r="N91" s="13"/>
      <c r="O91" s="13"/>
      <c r="P91" s="11"/>
      <c r="Q91" s="11"/>
      <c r="R91" s="11"/>
    </row>
    <row r="92" customFormat="false" ht="77.6" hidden="false" customHeight="false" outlineLevel="0" collapsed="false">
      <c r="A92" s="7" t="n">
        <v>91</v>
      </c>
      <c r="B92" s="7" t="s">
        <v>51</v>
      </c>
      <c r="C92" s="8" t="s">
        <v>459</v>
      </c>
      <c r="D92" s="9" t="s">
        <v>483</v>
      </c>
      <c r="E92" s="9" t="s">
        <v>484</v>
      </c>
      <c r="F92" s="14"/>
      <c r="G92" s="9" t="s">
        <v>485</v>
      </c>
      <c r="H92" s="9" t="s">
        <v>486</v>
      </c>
      <c r="I92" s="9" t="s">
        <v>487</v>
      </c>
      <c r="J92" s="9" t="s">
        <v>488</v>
      </c>
      <c r="K92" s="10" t="s">
        <v>489</v>
      </c>
      <c r="L92" s="11"/>
      <c r="M92" s="12" t="s">
        <v>36</v>
      </c>
      <c r="N92" s="13"/>
      <c r="O92" s="13"/>
      <c r="P92" s="11"/>
      <c r="Q92" s="11"/>
      <c r="R92" s="11"/>
    </row>
    <row r="93" customFormat="false" ht="52.2" hidden="false" customHeight="false" outlineLevel="0" collapsed="false">
      <c r="A93" s="7" t="n">
        <v>92</v>
      </c>
      <c r="B93" s="7" t="s">
        <v>51</v>
      </c>
      <c r="C93" s="8" t="s">
        <v>459</v>
      </c>
      <c r="D93" s="9" t="s">
        <v>472</v>
      </c>
      <c r="E93" s="9" t="s">
        <v>490</v>
      </c>
      <c r="F93" s="10" t="s">
        <v>491</v>
      </c>
      <c r="G93" s="9" t="s">
        <v>492</v>
      </c>
      <c r="H93" s="14"/>
      <c r="I93" s="9" t="s">
        <v>493</v>
      </c>
      <c r="J93" s="9" t="s">
        <v>494</v>
      </c>
      <c r="K93" s="10" t="s">
        <v>495</v>
      </c>
      <c r="L93" s="11"/>
      <c r="M93" s="12" t="s">
        <v>36</v>
      </c>
      <c r="N93" s="13"/>
      <c r="O93" s="13"/>
      <c r="P93" s="11"/>
      <c r="Q93" s="11"/>
      <c r="R93" s="11"/>
    </row>
    <row r="94" customFormat="false" ht="26.85" hidden="false" customHeight="false" outlineLevel="0" collapsed="false">
      <c r="A94" s="7" t="n">
        <v>93</v>
      </c>
      <c r="B94" s="7" t="s">
        <v>51</v>
      </c>
      <c r="C94" s="8" t="s">
        <v>459</v>
      </c>
      <c r="D94" s="9" t="s">
        <v>472</v>
      </c>
      <c r="E94" s="9" t="s">
        <v>496</v>
      </c>
      <c r="F94" s="10" t="s">
        <v>497</v>
      </c>
      <c r="G94" s="9" t="s">
        <v>498</v>
      </c>
      <c r="H94" s="14"/>
      <c r="I94" s="14"/>
      <c r="J94" s="9" t="s">
        <v>499</v>
      </c>
      <c r="K94" s="10" t="s">
        <v>497</v>
      </c>
      <c r="L94" s="11"/>
      <c r="M94" s="12" t="s">
        <v>36</v>
      </c>
      <c r="N94" s="13"/>
      <c r="O94" s="13"/>
      <c r="P94" s="11"/>
      <c r="Q94" s="11"/>
      <c r="R94" s="11"/>
    </row>
    <row r="95" customFormat="false" ht="26.85" hidden="false" customHeight="false" outlineLevel="0" collapsed="false">
      <c r="A95" s="7" t="n">
        <v>94</v>
      </c>
      <c r="B95" s="7" t="s">
        <v>51</v>
      </c>
      <c r="C95" s="8" t="s">
        <v>459</v>
      </c>
      <c r="D95" s="9" t="s">
        <v>500</v>
      </c>
      <c r="E95" s="9" t="s">
        <v>501</v>
      </c>
      <c r="F95" s="10" t="s">
        <v>502</v>
      </c>
      <c r="G95" s="9" t="s">
        <v>503</v>
      </c>
      <c r="H95" s="14"/>
      <c r="I95" s="14"/>
      <c r="J95" s="9" t="s">
        <v>504</v>
      </c>
      <c r="K95" s="10" t="s">
        <v>502</v>
      </c>
      <c r="L95" s="11"/>
      <c r="M95" s="12" t="s">
        <v>36</v>
      </c>
      <c r="N95" s="13"/>
      <c r="O95" s="13"/>
      <c r="P95" s="11"/>
      <c r="Q95" s="11"/>
      <c r="R95" s="11"/>
    </row>
    <row r="96" customFormat="false" ht="52.2" hidden="false" customHeight="false" outlineLevel="0" collapsed="false">
      <c r="A96" s="7" t="n">
        <v>95</v>
      </c>
      <c r="B96" s="7" t="s">
        <v>51</v>
      </c>
      <c r="C96" s="8" t="s">
        <v>459</v>
      </c>
      <c r="D96" s="9" t="s">
        <v>505</v>
      </c>
      <c r="E96" s="9" t="s">
        <v>506</v>
      </c>
      <c r="F96" s="14"/>
      <c r="G96" s="9" t="s">
        <v>507</v>
      </c>
      <c r="H96" s="9" t="s">
        <v>508</v>
      </c>
      <c r="I96" s="14"/>
      <c r="J96" s="9" t="s">
        <v>509</v>
      </c>
      <c r="K96" s="10" t="s">
        <v>510</v>
      </c>
      <c r="L96" s="11"/>
      <c r="M96" s="12" t="s">
        <v>36</v>
      </c>
      <c r="N96" s="13"/>
      <c r="O96" s="13"/>
      <c r="P96" s="11"/>
      <c r="Q96" s="11"/>
      <c r="R96" s="11"/>
    </row>
    <row r="97" customFormat="false" ht="39.55" hidden="false" customHeight="false" outlineLevel="0" collapsed="false">
      <c r="A97" s="7" t="n">
        <v>96</v>
      </c>
      <c r="B97" s="7" t="s">
        <v>51</v>
      </c>
      <c r="C97" s="8" t="s">
        <v>459</v>
      </c>
      <c r="D97" s="9" t="s">
        <v>505</v>
      </c>
      <c r="E97" s="9" t="s">
        <v>511</v>
      </c>
      <c r="F97" s="14"/>
      <c r="G97" s="9" t="s">
        <v>512</v>
      </c>
      <c r="H97" s="14" t="s">
        <v>513</v>
      </c>
      <c r="I97" s="9" t="s">
        <v>360</v>
      </c>
      <c r="J97" s="9" t="s">
        <v>514</v>
      </c>
      <c r="K97" s="10" t="s">
        <v>515</v>
      </c>
      <c r="L97" s="11"/>
      <c r="M97" s="12" t="s">
        <v>36</v>
      </c>
      <c r="N97" s="13"/>
      <c r="O97" s="13"/>
      <c r="P97" s="11"/>
      <c r="Q97" s="11"/>
      <c r="R97" s="11"/>
    </row>
    <row r="98" customFormat="false" ht="39.55" hidden="false" customHeight="false" outlineLevel="0" collapsed="false">
      <c r="A98" s="7" t="n">
        <v>97</v>
      </c>
      <c r="B98" s="7" t="s">
        <v>51</v>
      </c>
      <c r="C98" s="8" t="s">
        <v>459</v>
      </c>
      <c r="D98" s="9" t="s">
        <v>505</v>
      </c>
      <c r="E98" s="9" t="s">
        <v>516</v>
      </c>
      <c r="F98" s="14"/>
      <c r="G98" s="9" t="s">
        <v>517</v>
      </c>
      <c r="H98" s="9" t="s">
        <v>518</v>
      </c>
      <c r="I98" s="14"/>
      <c r="J98" s="9" t="s">
        <v>519</v>
      </c>
      <c r="K98" s="10" t="s">
        <v>520</v>
      </c>
      <c r="L98" s="11"/>
      <c r="M98" s="12" t="s">
        <v>36</v>
      </c>
      <c r="N98" s="13"/>
      <c r="O98" s="13"/>
      <c r="P98" s="11"/>
      <c r="Q98" s="11"/>
      <c r="R98" s="11"/>
    </row>
    <row r="99" customFormat="false" ht="26.85" hidden="false" customHeight="false" outlineLevel="0" collapsed="false">
      <c r="A99" s="7" t="n">
        <v>98</v>
      </c>
      <c r="B99" s="7" t="s">
        <v>51</v>
      </c>
      <c r="C99" s="8" t="s">
        <v>459</v>
      </c>
      <c r="D99" s="9" t="s">
        <v>505</v>
      </c>
      <c r="E99" s="9" t="s">
        <v>521</v>
      </c>
      <c r="F99" s="14"/>
      <c r="G99" s="9" t="s">
        <v>522</v>
      </c>
      <c r="H99" s="9" t="s">
        <v>264</v>
      </c>
      <c r="I99" s="14"/>
      <c r="J99" s="9" t="s">
        <v>523</v>
      </c>
      <c r="K99" s="10" t="s">
        <v>524</v>
      </c>
      <c r="L99" s="11"/>
      <c r="M99" s="12" t="s">
        <v>36</v>
      </c>
      <c r="N99" s="13"/>
      <c r="O99" s="13"/>
      <c r="P99" s="11"/>
      <c r="Q99" s="11"/>
      <c r="R99" s="11"/>
    </row>
    <row r="100" customFormat="false" ht="52.2" hidden="false" customHeight="false" outlineLevel="0" collapsed="false">
      <c r="A100" s="7" t="n">
        <v>99</v>
      </c>
      <c r="B100" s="7" t="s">
        <v>74</v>
      </c>
      <c r="C100" s="8" t="s">
        <v>459</v>
      </c>
      <c r="D100" s="14"/>
      <c r="E100" s="9" t="s">
        <v>525</v>
      </c>
      <c r="F100" s="14"/>
      <c r="G100" s="9" t="s">
        <v>526</v>
      </c>
      <c r="H100" s="9" t="s">
        <v>527</v>
      </c>
      <c r="I100" s="9" t="s">
        <v>528</v>
      </c>
      <c r="J100" s="9" t="s">
        <v>529</v>
      </c>
      <c r="K100" s="10" t="s">
        <v>530</v>
      </c>
      <c r="L100" s="11"/>
      <c r="M100" s="12" t="s">
        <v>36</v>
      </c>
      <c r="N100" s="13"/>
      <c r="O100" s="13"/>
      <c r="P100" s="11"/>
      <c r="Q100" s="11"/>
      <c r="R100" s="11"/>
    </row>
    <row r="101" customFormat="false" ht="26.85" hidden="false" customHeight="false" outlineLevel="0" collapsed="false">
      <c r="A101" s="7" t="n">
        <v>100</v>
      </c>
      <c r="B101" s="7" t="s">
        <v>74</v>
      </c>
      <c r="C101" s="8" t="s">
        <v>459</v>
      </c>
      <c r="D101" s="9" t="s">
        <v>460</v>
      </c>
      <c r="E101" s="9" t="s">
        <v>531</v>
      </c>
      <c r="F101" s="10" t="s">
        <v>532</v>
      </c>
      <c r="G101" s="9" t="s">
        <v>533</v>
      </c>
      <c r="H101" s="14"/>
      <c r="I101" s="14"/>
      <c r="J101" s="9" t="s">
        <v>534</v>
      </c>
      <c r="K101" s="10" t="s">
        <v>532</v>
      </c>
      <c r="L101" s="11"/>
      <c r="M101" s="12" t="s">
        <v>36</v>
      </c>
      <c r="N101" s="13"/>
      <c r="O101" s="13"/>
      <c r="P101" s="11"/>
      <c r="Q101" s="11"/>
      <c r="R101" s="11"/>
    </row>
    <row r="102" customFormat="false" ht="26.85" hidden="false" customHeight="false" outlineLevel="0" collapsed="false">
      <c r="A102" s="7" t="n">
        <v>101</v>
      </c>
      <c r="B102" s="7" t="s">
        <v>74</v>
      </c>
      <c r="C102" s="8" t="s">
        <v>459</v>
      </c>
      <c r="D102" s="9" t="s">
        <v>500</v>
      </c>
      <c r="E102" s="9" t="s">
        <v>535</v>
      </c>
      <c r="F102" s="10" t="s">
        <v>536</v>
      </c>
      <c r="G102" s="9" t="s">
        <v>537</v>
      </c>
      <c r="H102" s="14"/>
      <c r="I102" s="14"/>
      <c r="J102" s="9" t="s">
        <v>538</v>
      </c>
      <c r="K102" s="10" t="s">
        <v>536</v>
      </c>
      <c r="L102" s="11"/>
      <c r="M102" s="12" t="s">
        <v>36</v>
      </c>
      <c r="N102" s="13"/>
      <c r="O102" s="13"/>
      <c r="P102" s="11"/>
      <c r="Q102" s="11"/>
      <c r="R102" s="11"/>
    </row>
    <row r="103" customFormat="false" ht="64.9" hidden="false" customHeight="false" outlineLevel="0" collapsed="false">
      <c r="A103" s="7" t="n">
        <v>102</v>
      </c>
      <c r="B103" s="7" t="s">
        <v>74</v>
      </c>
      <c r="C103" s="8" t="s">
        <v>459</v>
      </c>
      <c r="D103" s="9" t="s">
        <v>505</v>
      </c>
      <c r="E103" s="9" t="s">
        <v>539</v>
      </c>
      <c r="F103" s="10" t="s">
        <v>540</v>
      </c>
      <c r="G103" s="9" t="s">
        <v>541</v>
      </c>
      <c r="H103" s="14" t="s">
        <v>542</v>
      </c>
      <c r="I103" s="9" t="s">
        <v>543</v>
      </c>
      <c r="J103" s="9" t="s">
        <v>544</v>
      </c>
      <c r="K103" s="10" t="s">
        <v>540</v>
      </c>
      <c r="L103" s="11"/>
      <c r="M103" s="12" t="s">
        <v>36</v>
      </c>
      <c r="N103" s="13"/>
      <c r="O103" s="13"/>
      <c r="P103" s="11"/>
      <c r="Q103" s="11"/>
      <c r="R103" s="11"/>
    </row>
    <row r="104" customFormat="false" ht="26.85" hidden="false" customHeight="false" outlineLevel="0" collapsed="false">
      <c r="A104" s="7" t="n">
        <v>103</v>
      </c>
      <c r="B104" s="7" t="s">
        <v>74</v>
      </c>
      <c r="C104" s="8" t="s">
        <v>459</v>
      </c>
      <c r="D104" s="9" t="s">
        <v>505</v>
      </c>
      <c r="E104" s="9" t="s">
        <v>545</v>
      </c>
      <c r="F104" s="14"/>
      <c r="G104" s="9" t="s">
        <v>546</v>
      </c>
      <c r="H104" s="14"/>
      <c r="I104" s="14"/>
      <c r="J104" s="9" t="s">
        <v>547</v>
      </c>
      <c r="K104" s="10" t="s">
        <v>548</v>
      </c>
      <c r="L104" s="11"/>
      <c r="M104" s="12" t="s">
        <v>36</v>
      </c>
      <c r="N104" s="13"/>
      <c r="O104" s="13"/>
      <c r="P104" s="11"/>
      <c r="Q104" s="11"/>
      <c r="R104" s="11"/>
    </row>
    <row r="105" customFormat="false" ht="39.55" hidden="false" customHeight="false" outlineLevel="0" collapsed="false">
      <c r="A105" s="7" t="n">
        <v>104</v>
      </c>
      <c r="B105" s="7" t="s">
        <v>74</v>
      </c>
      <c r="C105" s="8" t="s">
        <v>459</v>
      </c>
      <c r="D105" s="9" t="s">
        <v>505</v>
      </c>
      <c r="E105" s="9" t="s">
        <v>549</v>
      </c>
      <c r="F105" s="14"/>
      <c r="G105" s="9" t="s">
        <v>550</v>
      </c>
      <c r="H105" s="9" t="s">
        <v>551</v>
      </c>
      <c r="I105" s="9" t="s">
        <v>552</v>
      </c>
      <c r="J105" s="9" t="s">
        <v>553</v>
      </c>
      <c r="K105" s="10" t="s">
        <v>554</v>
      </c>
      <c r="L105" s="11"/>
      <c r="M105" s="12" t="s">
        <v>36</v>
      </c>
      <c r="N105" s="13"/>
      <c r="O105" s="13"/>
      <c r="P105" s="11"/>
      <c r="Q105" s="11"/>
      <c r="R105" s="11"/>
    </row>
  </sheetData>
  <autoFilter ref="A1:R105"/>
  <conditionalFormatting sqref="B2:B305">
    <cfRule type="cellIs" priority="2" operator="equal" aboveAverage="0" equalAverage="0" bottom="0" percent="0" rank="0" text="" dxfId="10">
      <formula>"A"</formula>
    </cfRule>
    <cfRule type="cellIs" priority="3" operator="equal" aboveAverage="0" equalAverage="0" bottom="0" percent="0" rank="0" text="" dxfId="11">
      <formula>"B"</formula>
    </cfRule>
    <cfRule type="cellIs" priority="4" operator="equal" aboveAverage="0" equalAverage="0" bottom="0" percent="0" rank="0" text="" dxfId="12">
      <formula>"C"</formula>
    </cfRule>
  </conditionalFormatting>
  <conditionalFormatting sqref="M2:M305">
    <cfRule type="cellIs" priority="5" operator="equal" aboveAverage="0" equalAverage="0" bottom="0" percent="0" rank="0" text="" dxfId="13">
      <formula>"加盟決定"</formula>
    </cfRule>
  </conditionalFormatting>
  <conditionalFormatting sqref="A2:R305">
    <cfRule type="expression" priority="6" aboveAverage="0" equalAverage="0" bottom="0" percent="0" rank="0" text="" dxfId="14">
      <formula>OR($M2="見送り",$M2="対象外")</formula>
    </cfRule>
  </conditionalFormatting>
  <conditionalFormatting sqref="O2:O305">
    <cfRule type="expression" priority="7" aboveAverage="0" equalAverage="0" bottom="0" percent="0" rank="0" text="" dxfId="15">
      <formula>AND($O2&lt;&gt;"",$O2&lt;=TODAY(),$M2&lt;&gt;"加盟決定",$M2&lt;&gt;"見送り",$M2&lt;&gt;"対象外")</formula>
    </cfRule>
  </conditionalFormatting>
  <dataValidations count="3">
    <dataValidation allowBlank="true" errorStyle="stop" operator="between" showDropDown="false" showErrorMessage="false" showInputMessage="false" sqref="M2:M305" type="list">
      <formula1>"未着手,資料送付,アポ獲得,商談中,セミナー参加,検討中,加盟決定,見送り,対象外"</formula1>
      <formula2>0</formula2>
    </dataValidation>
    <dataValidation allowBlank="true" errorStyle="stop" operator="between" showDropDown="false" showErrorMessage="false" showInputMessage="false" sqref="B2:B305" type="list">
      <formula1>"A,B,C"</formula1>
      <formula2>0</formula2>
    </dataValidation>
    <dataValidation allowBlank="true" errorStyle="stop" operator="greaterThan" showDropDown="false" showErrorMessage="false" showInputMessage="false" sqref="N2:O305" type="date">
      <formula1>DATE(2020,1,1)</formula1>
      <formula2>0</formula2>
    </dataValidation>
  </dataValidations>
  <hyperlinks>
    <hyperlink ref="K2" r:id="rId2" display="https://tsukulink.net/kanagawa/city_142123/764560"/>
    <hyperlink ref="K3" r:id="rId3" display="https://salesnow.jp/db/companies/jcbpca0vj3wg63wd ; https://crexgroup.com/ja/home-building/region/sagamihara-construction-company-list/"/>
    <hyperlink ref="F4" r:id="rId4" display="https://www.daikatsu.plus/"/>
    <hyperlink ref="K4" r:id="rId5" display="https://realestate.yahoo.co.jp/company/used/bc00023294/ ; https://www.daikatsu.plus/"/>
    <hyperlink ref="K5" r:id="rId6" display="https://compalyze.co.jp/company/6021001036109 ; https://www.e-mansion.co.jp/bbs/thread/11219/"/>
    <hyperlink ref="K6" r:id="rId7" display="https://www.biz.ne.jp/company/daiei1101/"/>
    <hyperlink ref="F7" r:id="rId8" display="http://www.kagatuma.co.jp/"/>
    <hyperlink ref="K7" r:id="rId9" display="https://www.biz.ne.jp/corporation/26676/ ; https://salesnow.jp/db/companies/jcbpyxufanr08sdk"/>
    <hyperlink ref="F8" r:id="rId10" display="https://www.sankihome.co.jp/"/>
    <hyperlink ref="K8" r:id="rId11" display="https://www.city.fujisawa.kanagawa.jp/documents/33414/r5jisseki_sankihome.pdf ; https://www.sankihome.co.jp/"/>
    <hyperlink ref="K9" r:id="rId12" display="https://www.e-mansion.co.jp/bbs/thread/11729/ ; https://compalyze.co.jp/company/8021002003659"/>
    <hyperlink ref="F10" r:id="rId13" display="https://www.ishihara396.com/"/>
    <hyperlink ref="K10" r:id="rId14" display="https://www.ishihara396.com/useful/3253/"/>
    <hyperlink ref="K11" r:id="rId15" display="https://local-time.jp/shonan-komuten/"/>
    <hyperlink ref="K12" r:id="rId16" display="https://www.e-mansion.co.jp/bbs/thread/10070/"/>
    <hyperlink ref="K13" r:id="rId17" display="https://compalyze.co.jp/company/4021001034816"/>
    <hyperlink ref="K14" r:id="rId18" display="https://www.seikatsu-guide.com/info/14/14206/7/"/>
    <hyperlink ref="K15" r:id="rId19" display="https://crexgroup.com/ja/home-building/region/kawasaki-city-construction-company-ranking-selection/"/>
    <hyperlink ref="K16" r:id="rId20" display="https://itp.ne.jp/zenkoku/kanagawa/yokohamashi-kanagawaku/sammaichiyo/146465800200000899"/>
    <hyperlink ref="K17" r:id="rId21" display="https://crexgroup.com/ja/home-building/region/sagamihara-construction-company-list/"/>
    <hyperlink ref="K18" r:id="rId22" display="https://www.e-mansion.co.jp/bbs/thread/673787/"/>
    <hyperlink ref="K19" r:id="rId23" display="https://compalyze.co.jp/company/7011501006180 ; https://news.mynavi.jp/real-estate-assessment/73482"/>
    <hyperlink ref="F20" r:id="rId24" display="https://www.daishu.co.jp/"/>
    <hyperlink ref="K20" r:id="rId25" display="https://www.daishu.co.jp/workarea/%E8%88%B9%E6%A9%8B%E5%B8%82/"/>
    <hyperlink ref="F21" r:id="rId26" display="https://www.welcome-home.jp/"/>
    <hyperlink ref="K21" r:id="rId27" display="https://www.welcome-home.jp/funabasi/"/>
    <hyperlink ref="K22" r:id="rId28" display="https://akitekt.net/koumutenmatome-1-27/"/>
    <hyperlink ref="K23" r:id="rId29" display="https://news.mynavi.jp/real-estate-assessment/73482"/>
    <hyperlink ref="K24" r:id="rId30" display="https://news.mynavi.jp/real-estate-assessment/73482"/>
    <hyperlink ref="K25" r:id="rId31" display="https://en-ambi.com/job/j-5351318/"/>
    <hyperlink ref="K26" r:id="rId32" display="https://www.value-press.com/pressrelease/159201 ; https://www.biz.ne.jp/company/manahome/"/>
    <hyperlink ref="K27" r:id="rId33" display="https://tsukulink.net/chiba/city_121011/254263"/>
    <hyperlink ref="K28" r:id="rId34" display="https://funabashi.mypl.net/article/kurashi_funabashi/86372 ; https://honma-ltd.jp/media/chibakenn/"/>
    <hyperlink ref="F29" r:id="rId35" display="https://www.kyowa-housing.co.jp/"/>
    <hyperlink ref="K29" r:id="rId36" display="https://www.kyowa-housing.co.jp/"/>
    <hyperlink ref="K30" r:id="rId37" display="https://www.houzz.jp/professionals/general-contractor/%E4%BD%90%E5%80%89%E5%B8%82-04-jp-probr0-bo~t_16120~r_2111215"/>
    <hyperlink ref="K31" r:id="rId38" display="https://akitekt.net/koumutenmatome-1-27/"/>
    <hyperlink ref="K32" r:id="rId39" display="https://doda.jp/DodaFront/View/CompanyJobs/j_id__10005586452/"/>
    <hyperlink ref="K33" r:id="rId40" display="https://crexgroup.com/ja/home-building/region/kashiwa-city-builder-ranking/"/>
    <hyperlink ref="K34" r:id="rId41" display="https://www.biz.ne.jp/corporation/29241/"/>
    <hyperlink ref="K35" r:id="rId42" display="https://funabashi.mypl.net/article/kurashi_funabashi/86372"/>
    <hyperlink ref="K36" r:id="rId43" display="https://funabashi.mypl.net/article/kurashi_funabashi/86372"/>
    <hyperlink ref="K37" r:id="rId44" display="https://compalyze.co.jp/company/4080402018059"/>
    <hyperlink ref="K38" r:id="rId45" display="https://en-gage.net/serikosaiyo_saiyo/work_17700223/"/>
    <hyperlink ref="K39" r:id="rId46" display="https://www.e-mansion.co.jp/bbs/thread/212986/"/>
    <hyperlink ref="K40" r:id="rId47" display="https://compalyze.co.jp/company/2080101011812"/>
    <hyperlink ref="K41" r:id="rId48" display="https://compalyze.co.jp/company/9080102016036"/>
    <hyperlink ref="F42" r:id="rId49" display="https://ecofield.jp/"/>
    <hyperlink ref="K42" r:id="rId50" display="https://www.city.fuji.shizuoka.jp/documents/4226/kentikuissiki_2.pdf"/>
    <hyperlink ref="K43" r:id="rId51" display="https://www.city.fuji.shizuoka.jp/documents/16146/2-2_fujiokuzai.pdf"/>
    <hyperlink ref="F44" r:id="rId52" display="https://haradakomuten.com/index.html"/>
    <hyperlink ref="K44" r:id="rId53" display="https://www.e-mansion.co.jp/bbs/thread/77347/"/>
    <hyperlink ref="F45" r:id="rId54" display="https://zero-fujita.com/"/>
    <hyperlink ref="K45" r:id="rId55" display="https://compalyze.co.jp/company/7080101000141"/>
    <hyperlink ref="K46" r:id="rId56" display="https://www.revic.co.jp/pdf/news/2018/180329newsrelease.pdf"/>
    <hyperlink ref="K47" r:id="rId57" display="https://compalyze.co.jp/company/4080401013011"/>
    <hyperlink ref="K48" r:id="rId58" display="https://compalyze.co.jp/company/2080401006396"/>
    <hyperlink ref="K49" r:id="rId59" display="https://compalyze.co.jp/company/4080401011056"/>
    <hyperlink ref="K50" r:id="rId60" display="https://compalyze.co.jp/company/3080401003509"/>
    <hyperlink ref="K51" r:id="rId61" display="https://mynavi-agent.jp/corpdetail/30451/"/>
    <hyperlink ref="K52" r:id="rId62" display="https://compalyze.co.jp/company/4080401013011"/>
    <hyperlink ref="K53" r:id="rId63" display="https://www.r-agent.com/company/a9425/"/>
    <hyperlink ref="K54" r:id="rId64" display="https://ouchi-keikaku.heteml.net/cyumonjyutaku-osusume-shizuoka/"/>
    <hyperlink ref="F55" r:id="rId65" display="https://fukukobo-shizuoka.net/"/>
    <hyperlink ref="K55" r:id="rId66" display="https://job.mynavi.jp/27/pc/search/corp201435/outline.html"/>
    <hyperlink ref="K56" r:id="rId67" display="https://life-designs.jp/webmagazine/housing-ichinomiya/"/>
    <hyperlink ref="K57" r:id="rId68" display="https://life-designs.jp/webmagazine/housing-kasugai/"/>
    <hyperlink ref="K58" r:id="rId69" display="https://news.mynavi.jp/real-estate-assessment/74057"/>
    <hyperlink ref="K59" r:id="rId70" display="https://base-on.com/media/aichi-komaki-city/"/>
    <hyperlink ref="F60" r:id="rId71" display="https://sevenhouse.jp/"/>
    <hyperlink ref="K60" r:id="rId72" display="https://sevenhouse.jp/"/>
    <hyperlink ref="K61" r:id="rId73" display="https://life-designs.jp/webmagazine/housing-kasugai/"/>
    <hyperlink ref="F62" r:id="rId74" display="https://www.likehome-masters.com/"/>
    <hyperlink ref="K62" r:id="rId75" display="https://life-designs.jp/webmagazine/housing-kasugai/"/>
    <hyperlink ref="K63" r:id="rId76" display="https://realestate.news.mynavi.jp/housemaker-ranking/aichi-komuten-osusume"/>
    <hyperlink ref="K64" r:id="rId77" display="https://life-designs.jp/webmagazine/housing-kasugai/"/>
    <hyperlink ref="K65" r:id="rId78" display="https://news.mynavi.jp/real-estate-assessment/74057"/>
    <hyperlink ref="K66" r:id="rId79" display="https://www.sumailab.net/P23/A6/rankings/135/okazaki/"/>
    <hyperlink ref="K67" r:id="rId80" display="https://www.sumailab.net/P23/A6/rankings/134/toyohashi/"/>
    <hyperlink ref="K68" r:id="rId81" display="https://www.sumailab.net/P23/A6/rankings/134/toyohashi/"/>
    <hyperlink ref="K69" r:id="rId82" display="https://www.sumailab.net/P23/A6/rankings/134/toyohashi/"/>
    <hyperlink ref="K70" r:id="rId83" display="https://www.sumailab.net/P23/A6/rankings/139/toyota/"/>
    <hyperlink ref="K71" r:id="rId84" display="https://life-designs.jp/webmagazine/housing-ichinomiya/"/>
    <hyperlink ref="F72" r:id="rId85" display="https://www.cityhouse.jp/"/>
    <hyperlink ref="K72" r:id="rId86" display="https://www.cityhouse.jp/"/>
    <hyperlink ref="K73" r:id="rId87" display="https://itp.ne.jp/zenkoku/ishikawa/hakusanshi/narimachi/171304837300000899"/>
    <hyperlink ref="F74" r:id="rId88" display="https://www.kitadekenchiku.jp/"/>
    <hyperlink ref="K74" r:id="rId89" display="https://www.kitadekenchiku.jp/"/>
    <hyperlink ref="F75" r:id="rId90" display="https://daikokukensetsu.co.jp/"/>
    <hyperlink ref="K75" r:id="rId91" display="https://daikokukensetsu.co.jp/"/>
    <hyperlink ref="F76" r:id="rId92" display="https://ing-archi.com/"/>
    <hyperlink ref="K76" r:id="rId93" display="https://ing-archi.com/"/>
    <hyperlink ref="K77" r:id="rId94" display="https://www.bizreach.jp/job/view/3633864/"/>
    <hyperlink ref="F78" r:id="rId95" display="https://www.uruoino-ie.jp/"/>
    <hyperlink ref="K78" r:id="rId96" display="https://www.uruoino-ie.jp/"/>
    <hyperlink ref="F79" r:id="rId97" display="https://takumi-build.co.jp/"/>
    <hyperlink ref="K79" r:id="rId98" display="https://takumi-build.co.jp/"/>
    <hyperlink ref="F80" r:id="rId99" display="https://hashi-koumuten.com/"/>
    <hyperlink ref="K80" r:id="rId100" display="https://hashi-koumuten.com/"/>
    <hyperlink ref="K81" r:id="rId101" display="https://mynavi-agent.jp/corpdetail/30024/"/>
    <hyperlink ref="K82" r:id="rId102" display="https://hrmos.co/pages/ishitomo-recruit/jobs/2244697317863440384"/>
    <hyperlink ref="K83" r:id="rId103" display="https://auka.jp/media/housemaker/housemaker-ishikawa/housemaker-isikawa-kanazawa"/>
    <hyperlink ref="F84" r:id="rId104" display="https://www.kunimikoumuten.com/"/>
    <hyperlink ref="K84" r:id="rId105" display="https://www.kunimikoumuten.com/"/>
    <hyperlink ref="K85" r:id="rId106" display="https://toushi.homes.co.jp/bukkeninform/4615965/"/>
    <hyperlink ref="K86" r:id="rId107" display="https://job.mynavi.jp/27/pc/search/corp98557/outline.html"/>
    <hyperlink ref="K87" r:id="rId108" display="https://www.houzz.jp/professionals/general-contractor/c/%E7%9F%B3%E5%B7%9D%E7%9C%8C-%E9%B9%BF%E5%B3%B6%E9%83%A1%E4%B8%AD%E8%83%BD%E7%99%BB%E7%94%BA"/>
    <hyperlink ref="K88" r:id="rId109" display="https://www.value-press.com/s/pressrelease/130699"/>
    <hyperlink ref="F89" r:id="rId110" display="https://www.kagawakentiku.com/"/>
    <hyperlink ref="K89" r:id="rId111" display="https://www.kagawakentiku.com/"/>
    <hyperlink ref="F90" r:id="rId112" display="https://www.otsuka-cc.jp/"/>
    <hyperlink ref="K90" r:id="rId113" display="https://www.otsuka-cc.jp/"/>
    <hyperlink ref="K91" r:id="rId114" display="https://job.mynavi.jp/28/pc/search/corp99482/is.html"/>
    <hyperlink ref="K92" r:id="rId115" display="https://compalyze.co.jp/company/6470001011035"/>
    <hyperlink ref="F93" r:id="rId116" display="https://www.reox.jp/"/>
    <hyperlink ref="K93" r:id="rId117" display="https://panasonic.co.jp/phs/pasd/pb-techno/pb_search/detail.php?area=chugoku_shikoku&amp;pref=kagawa&amp;pb=P0413"/>
    <hyperlink ref="F94" r:id="rId118" display="http://www.tsuyama-h.jp/"/>
    <hyperlink ref="K94" r:id="rId119" display="http://www.tsuyama-h.jp/"/>
    <hyperlink ref="F95" r:id="rId120" display="https://www.k3kyo.co.jp/"/>
    <hyperlink ref="K95" r:id="rId121" display="https://www.k3kyo.co.jp/"/>
    <hyperlink ref="K96" r:id="rId122" display="https://resemom.jp/release/prtimes/20230913/104104.html"/>
    <hyperlink ref="K97" r:id="rId123" display="https://compalyze.co.jp/company/4470001001467"/>
    <hyperlink ref="K98" r:id="rId124" display="https://news.ksb.co.jp/article/15416864"/>
    <hyperlink ref="K99" r:id="rId125" display="https://mynavi-agent.jp/corpdetail/29948/"/>
    <hyperlink ref="K100" r:id="rId126" display="https://job.mynavi.jp/27/pc/search/corp89971/outline.html"/>
    <hyperlink ref="F101" r:id="rId127" display="https://www.tuchikame.com/"/>
    <hyperlink ref="K101" r:id="rId128" display="https://www.tuchikame.com/"/>
    <hyperlink ref="F102" r:id="rId129" display="https://takakenkobo.jp/"/>
    <hyperlink ref="K102" r:id="rId130" display="https://takakenkobo.jp/"/>
    <hyperlink ref="F103" r:id="rId131" display="https://sakai-koumuten.jp/"/>
    <hyperlink ref="K103" r:id="rId132" display="https://sakai-koumuten.jp/"/>
    <hyperlink ref="K104" r:id="rId133" display="https://crexgroup.com/ja/home-building/region/takamatsu-home-builder-selection-guide/"/>
    <hyperlink ref="K105" r:id="rId134" display="https://resemom.jp/release/prtimes/20250626/148666.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5"/>
  <legacyDrawing r:id="rId13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8" min="2" style="0" width="11"/>
  </cols>
  <sheetData>
    <row r="1" customFormat="false" ht="19.4" hidden="false" customHeight="false" outlineLevel="0" collapsed="false">
      <c r="A1" s="15" t="s">
        <v>555</v>
      </c>
    </row>
    <row r="2" customFormat="false" ht="15" hidden="false" customHeight="false" outlineLevel="0" collapsed="false">
      <c r="A2" s="16" t="s">
        <v>556</v>
      </c>
    </row>
    <row r="4" customFormat="false" ht="15" hidden="false" customHeight="false" outlineLevel="0" collapsed="false">
      <c r="A4" s="5" t="s">
        <v>12</v>
      </c>
      <c r="B4" s="4" t="s">
        <v>28</v>
      </c>
      <c r="C4" s="4" t="s">
        <v>51</v>
      </c>
      <c r="D4" s="4" t="s">
        <v>74</v>
      </c>
      <c r="E4" s="5" t="s">
        <v>557</v>
      </c>
      <c r="F4" s="5" t="s">
        <v>558</v>
      </c>
      <c r="G4" s="5" t="s">
        <v>559</v>
      </c>
      <c r="H4" s="5" t="s">
        <v>560</v>
      </c>
    </row>
    <row r="5" customFormat="false" ht="15" hidden="false" customHeight="false" outlineLevel="0" collapsed="false">
      <c r="A5" s="17" t="s">
        <v>29</v>
      </c>
      <c r="B5" s="18" t="n">
        <f aca="false">COUNTIFS(アタックリスト!$C$2:$C$305,$A5,アタックリスト!$B$2:$B$305,"A")</f>
        <v>3</v>
      </c>
      <c r="C5" s="18" t="n">
        <f aca="false">COUNTIFS(アタックリスト!$C$2:$C$305,$A5,アタックリスト!$B$2:$B$305,"B")</f>
        <v>4</v>
      </c>
      <c r="D5" s="18" t="n">
        <f aca="false">COUNTIFS(アタックリスト!$C$2:$C$305,$A5,アタックリスト!$B$2:$B$305,"C")</f>
        <v>10</v>
      </c>
      <c r="E5" s="18" t="n">
        <f aca="false">SUM(B5:D5)</f>
        <v>17</v>
      </c>
      <c r="F5" s="18" t="n">
        <f aca="false">COUNTIFS(アタックリスト!$C$2:$C$305,$A5,アタックリスト!$M$2:$M$305,"&lt;&gt;未着手",アタックリスト!$M$2:$M$305,"&lt;&gt;")</f>
        <v>0</v>
      </c>
      <c r="G5" s="18" t="n">
        <f aca="false">COUNTIFS(アタックリスト!$C$2:$C$305,$A5,アタックリスト!$M$2:$M$305,"商談中")+COUNTIFS(アタックリスト!$C$2:$C$305,$A5,アタックリスト!$M$2:$M$305,"セミナー参加")+COUNTIFS(アタックリスト!$C$2:$C$305,$A5,アタックリスト!$M$2:$M$305,"検討中")+COUNTIFS(アタックリスト!$C$2:$C$305,$A5,アタックリスト!$M$2:$M$305,"加盟決定")</f>
        <v>0</v>
      </c>
      <c r="H5" s="18" t="n">
        <f aca="false">COUNTIFS(アタックリスト!$C$2:$C$305,$A5,アタックリスト!$M$2:$M$305,"加盟決定")</f>
        <v>0</v>
      </c>
    </row>
    <row r="6" customFormat="false" ht="15" hidden="false" customHeight="false" outlineLevel="0" collapsed="false">
      <c r="A6" s="17" t="s">
        <v>121</v>
      </c>
      <c r="B6" s="18" t="n">
        <f aca="false">COUNTIFS(アタックリスト!$C$2:$C$305,$A6,アタックリスト!$B$2:$B$305,"A")</f>
        <v>2</v>
      </c>
      <c r="C6" s="18" t="n">
        <f aca="false">COUNTIFS(アタックリスト!$C$2:$C$305,$A6,アタックリスト!$B$2:$B$305,"B")</f>
        <v>9</v>
      </c>
      <c r="D6" s="18" t="n">
        <f aca="false">COUNTIFS(アタックリスト!$C$2:$C$305,$A6,アタックリスト!$B$2:$B$305,"C")</f>
        <v>7</v>
      </c>
      <c r="E6" s="18" t="n">
        <f aca="false">SUM(B6:D6)</f>
        <v>18</v>
      </c>
      <c r="F6" s="18" t="n">
        <f aca="false">COUNTIFS(アタックリスト!$C$2:$C$305,$A6,アタックリスト!$M$2:$M$305,"&lt;&gt;未着手",アタックリスト!$M$2:$M$305,"&lt;&gt;")</f>
        <v>0</v>
      </c>
      <c r="G6" s="18" t="n">
        <f aca="false">COUNTIFS(アタックリスト!$C$2:$C$305,$A6,アタックリスト!$M$2:$M$305,"商談中")+COUNTIFS(アタックリスト!$C$2:$C$305,$A6,アタックリスト!$M$2:$M$305,"セミナー参加")+COUNTIFS(アタックリスト!$C$2:$C$305,$A6,アタックリスト!$M$2:$M$305,"検討中")+COUNTIFS(アタックリスト!$C$2:$C$305,$A6,アタックリスト!$M$2:$M$305,"加盟決定")</f>
        <v>0</v>
      </c>
      <c r="H6" s="18" t="n">
        <f aca="false">COUNTIFS(アタックリスト!$C$2:$C$305,$A6,アタックリスト!$M$2:$M$305,"加盟決定")</f>
        <v>0</v>
      </c>
    </row>
    <row r="7" customFormat="false" ht="15" hidden="false" customHeight="false" outlineLevel="0" collapsed="false">
      <c r="A7" s="17" t="s">
        <v>215</v>
      </c>
      <c r="B7" s="18" t="n">
        <f aca="false">COUNTIFS(アタックリスト!$C$2:$C$305,$A7,アタックリスト!$B$2:$B$305,"A")</f>
        <v>2</v>
      </c>
      <c r="C7" s="18" t="n">
        <f aca="false">COUNTIFS(アタックリスト!$C$2:$C$305,$A7,アタックリスト!$B$2:$B$305,"B")</f>
        <v>12</v>
      </c>
      <c r="D7" s="18" t="n">
        <f aca="false">COUNTIFS(アタックリスト!$C$2:$C$305,$A7,アタックリスト!$B$2:$B$305,"C")</f>
        <v>5</v>
      </c>
      <c r="E7" s="18" t="n">
        <f aca="false">SUM(B7:D7)</f>
        <v>19</v>
      </c>
      <c r="F7" s="18" t="n">
        <f aca="false">COUNTIFS(アタックリスト!$C$2:$C$305,$A7,アタックリスト!$M$2:$M$305,"&lt;&gt;未着手",アタックリスト!$M$2:$M$305,"&lt;&gt;")</f>
        <v>0</v>
      </c>
      <c r="G7" s="18" t="n">
        <f aca="false">COUNTIFS(アタックリスト!$C$2:$C$305,$A7,アタックリスト!$M$2:$M$305,"商談中")+COUNTIFS(アタックリスト!$C$2:$C$305,$A7,アタックリスト!$M$2:$M$305,"セミナー参加")+COUNTIFS(アタックリスト!$C$2:$C$305,$A7,アタックリスト!$M$2:$M$305,"検討中")+COUNTIFS(アタックリスト!$C$2:$C$305,$A7,アタックリスト!$M$2:$M$305,"加盟決定")</f>
        <v>0</v>
      </c>
      <c r="H7" s="18" t="n">
        <f aca="false">COUNTIFS(アタックリスト!$C$2:$C$305,$A7,アタックリスト!$M$2:$M$305,"加盟決定")</f>
        <v>0</v>
      </c>
    </row>
    <row r="8" customFormat="false" ht="15" hidden="false" customHeight="false" outlineLevel="0" collapsed="false">
      <c r="A8" s="17" t="s">
        <v>318</v>
      </c>
      <c r="B8" s="18" t="n">
        <f aca="false">COUNTIFS(アタックリスト!$C$2:$C$305,$A8,アタックリスト!$B$2:$B$305,"A")</f>
        <v>2</v>
      </c>
      <c r="C8" s="18" t="n">
        <f aca="false">COUNTIFS(アタックリスト!$C$2:$C$305,$A8,アタックリスト!$B$2:$B$305,"B")</f>
        <v>6</v>
      </c>
      <c r="D8" s="18" t="n">
        <f aca="false">COUNTIFS(アタックリスト!$C$2:$C$305,$A8,アタックリスト!$B$2:$B$305,"C")</f>
        <v>8</v>
      </c>
      <c r="E8" s="18" t="n">
        <f aca="false">SUM(B8:D8)</f>
        <v>16</v>
      </c>
      <c r="F8" s="18" t="n">
        <f aca="false">COUNTIFS(アタックリスト!$C$2:$C$305,$A8,アタックリスト!$M$2:$M$305,"&lt;&gt;未着手",アタックリスト!$M$2:$M$305,"&lt;&gt;")</f>
        <v>0</v>
      </c>
      <c r="G8" s="18" t="n">
        <f aca="false">COUNTIFS(アタックリスト!$C$2:$C$305,$A8,アタックリスト!$M$2:$M$305,"商談中")+COUNTIFS(アタックリスト!$C$2:$C$305,$A8,アタックリスト!$M$2:$M$305,"セミナー参加")+COUNTIFS(アタックリスト!$C$2:$C$305,$A8,アタックリスト!$M$2:$M$305,"検討中")+COUNTIFS(アタックリスト!$C$2:$C$305,$A8,アタックリスト!$M$2:$M$305,"加盟決定")</f>
        <v>0</v>
      </c>
      <c r="H8" s="18" t="n">
        <f aca="false">COUNTIFS(アタックリスト!$C$2:$C$305,$A8,アタックリスト!$M$2:$M$305,"加盟決定")</f>
        <v>0</v>
      </c>
    </row>
    <row r="9" customFormat="false" ht="15" hidden="false" customHeight="false" outlineLevel="0" collapsed="false">
      <c r="A9" s="17" t="s">
        <v>382</v>
      </c>
      <c r="B9" s="18" t="n">
        <f aca="false">COUNTIFS(アタックリスト!$C$2:$C$305,$A9,アタックリスト!$B$2:$B$305,"A")</f>
        <v>2</v>
      </c>
      <c r="C9" s="18" t="n">
        <f aca="false">COUNTIFS(アタックリスト!$C$2:$C$305,$A9,アタックリスト!$B$2:$B$305,"B")</f>
        <v>7</v>
      </c>
      <c r="D9" s="18" t="n">
        <f aca="false">COUNTIFS(アタックリスト!$C$2:$C$305,$A9,アタックリスト!$B$2:$B$305,"C")</f>
        <v>7</v>
      </c>
      <c r="E9" s="18" t="n">
        <f aca="false">SUM(B9:D9)</f>
        <v>16</v>
      </c>
      <c r="F9" s="18" t="n">
        <f aca="false">COUNTIFS(アタックリスト!$C$2:$C$305,$A9,アタックリスト!$M$2:$M$305,"&lt;&gt;未着手",アタックリスト!$M$2:$M$305,"&lt;&gt;")</f>
        <v>0</v>
      </c>
      <c r="G9" s="18" t="n">
        <f aca="false">COUNTIFS(アタックリスト!$C$2:$C$305,$A9,アタックリスト!$M$2:$M$305,"商談中")+COUNTIFS(アタックリスト!$C$2:$C$305,$A9,アタックリスト!$M$2:$M$305,"セミナー参加")+COUNTIFS(アタックリスト!$C$2:$C$305,$A9,アタックリスト!$M$2:$M$305,"検討中")+COUNTIFS(アタックリスト!$C$2:$C$305,$A9,アタックリスト!$M$2:$M$305,"加盟決定")</f>
        <v>0</v>
      </c>
      <c r="H9" s="18" t="n">
        <f aca="false">COUNTIFS(アタックリスト!$C$2:$C$305,$A9,アタックリスト!$M$2:$M$305,"加盟決定")</f>
        <v>0</v>
      </c>
    </row>
    <row r="10" customFormat="false" ht="15" hidden="false" customHeight="false" outlineLevel="0" collapsed="false">
      <c r="A10" s="17" t="s">
        <v>459</v>
      </c>
      <c r="B10" s="18" t="n">
        <f aca="false">COUNTIFS(アタックリスト!$C$2:$C$305,$A10,アタックリスト!$B$2:$B$305,"A")</f>
        <v>3</v>
      </c>
      <c r="C10" s="18" t="n">
        <f aca="false">COUNTIFS(アタックリスト!$C$2:$C$305,$A10,アタックリスト!$B$2:$B$305,"B")</f>
        <v>9</v>
      </c>
      <c r="D10" s="18" t="n">
        <f aca="false">COUNTIFS(アタックリスト!$C$2:$C$305,$A10,アタックリスト!$B$2:$B$305,"C")</f>
        <v>6</v>
      </c>
      <c r="E10" s="18" t="n">
        <f aca="false">SUM(B10:D10)</f>
        <v>18</v>
      </c>
      <c r="F10" s="18" t="n">
        <f aca="false">COUNTIFS(アタックリスト!$C$2:$C$305,$A10,アタックリスト!$M$2:$M$305,"&lt;&gt;未着手",アタックリスト!$M$2:$M$305,"&lt;&gt;")</f>
        <v>0</v>
      </c>
      <c r="G10" s="18" t="n">
        <f aca="false">COUNTIFS(アタックリスト!$C$2:$C$305,$A10,アタックリスト!$M$2:$M$305,"商談中")+COUNTIFS(アタックリスト!$C$2:$C$305,$A10,アタックリスト!$M$2:$M$305,"セミナー参加")+COUNTIFS(アタックリスト!$C$2:$C$305,$A10,アタックリスト!$M$2:$M$305,"検討中")+COUNTIFS(アタックリスト!$C$2:$C$305,$A10,アタックリスト!$M$2:$M$305,"加盟決定")</f>
        <v>0</v>
      </c>
      <c r="H10" s="18" t="n">
        <f aca="false">COUNTIFS(アタックリスト!$C$2:$C$305,$A10,アタックリスト!$M$2:$M$305,"加盟決定")</f>
        <v>0</v>
      </c>
    </row>
    <row r="11" customFormat="false" ht="15" hidden="false" customHeight="false" outlineLevel="0" collapsed="false">
      <c r="A11" s="19" t="s">
        <v>557</v>
      </c>
      <c r="B11" s="20" t="n">
        <f aca="false">SUM(B5:B10)</f>
        <v>14</v>
      </c>
      <c r="C11" s="20" t="n">
        <f aca="false">SUM(C5:C10)</f>
        <v>47</v>
      </c>
      <c r="D11" s="20" t="n">
        <f aca="false">SUM(D5:D10)</f>
        <v>43</v>
      </c>
      <c r="E11" s="20" t="n">
        <f aca="false">SUM(E5:E10)</f>
        <v>104</v>
      </c>
      <c r="F11" s="20" t="n">
        <f aca="false">SUM(F5:F10)</f>
        <v>0</v>
      </c>
      <c r="G11" s="20" t="n">
        <f aca="false">SUM(G5:G10)</f>
        <v>0</v>
      </c>
      <c r="H11" s="20" t="n">
        <f aca="false">SUM(H5:H10)</f>
        <v>0</v>
      </c>
    </row>
    <row r="13" customFormat="false" ht="15" hidden="false" customHeight="false" outlineLevel="0" collapsed="false">
      <c r="A13" s="1" t="s">
        <v>561</v>
      </c>
    </row>
    <row r="14" customFormat="false" ht="15" hidden="false" customHeight="false" outlineLevel="0" collapsed="false">
      <c r="A14" s="17" t="s">
        <v>36</v>
      </c>
      <c r="B14" s="18" t="n">
        <f aca="false">COUNTIF(アタックリスト!$M$2:$M$305,A14)</f>
        <v>104</v>
      </c>
    </row>
    <row r="15" customFormat="false" ht="15" hidden="false" customHeight="false" outlineLevel="0" collapsed="false">
      <c r="A15" s="17" t="s">
        <v>562</v>
      </c>
      <c r="B15" s="18" t="n">
        <f aca="false">COUNTIF(アタックリスト!$M$2:$M$305,A15)</f>
        <v>0</v>
      </c>
    </row>
    <row r="16" customFormat="false" ht="15" hidden="false" customHeight="false" outlineLevel="0" collapsed="false">
      <c r="A16" s="17" t="s">
        <v>563</v>
      </c>
      <c r="B16" s="18" t="n">
        <f aca="false">COUNTIF(アタックリスト!$M$2:$M$305,A16)</f>
        <v>0</v>
      </c>
    </row>
    <row r="17" customFormat="false" ht="15" hidden="false" customHeight="false" outlineLevel="0" collapsed="false">
      <c r="A17" s="17" t="s">
        <v>564</v>
      </c>
      <c r="B17" s="18" t="n">
        <f aca="false">COUNTIF(アタックリスト!$M$2:$M$305,A17)</f>
        <v>0</v>
      </c>
    </row>
    <row r="18" customFormat="false" ht="15" hidden="false" customHeight="false" outlineLevel="0" collapsed="false">
      <c r="A18" s="17" t="s">
        <v>565</v>
      </c>
      <c r="B18" s="18" t="n">
        <f aca="false">COUNTIF(アタックリスト!$M$2:$M$305,A18)</f>
        <v>0</v>
      </c>
    </row>
    <row r="19" customFormat="false" ht="15" hidden="false" customHeight="false" outlineLevel="0" collapsed="false">
      <c r="A19" s="17" t="s">
        <v>566</v>
      </c>
      <c r="B19" s="18" t="n">
        <f aca="false">COUNTIF(アタックリスト!$M$2:$M$305,A19)</f>
        <v>0</v>
      </c>
    </row>
    <row r="20" customFormat="false" ht="15" hidden="false" customHeight="false" outlineLevel="0" collapsed="false">
      <c r="A20" s="17" t="s">
        <v>560</v>
      </c>
      <c r="B20" s="18" t="n">
        <f aca="false">COUNTIF(アタックリスト!$M$2:$M$305,A20)</f>
        <v>0</v>
      </c>
    </row>
    <row r="21" customFormat="false" ht="15" hidden="false" customHeight="false" outlineLevel="0" collapsed="false">
      <c r="A21" s="17" t="s">
        <v>567</v>
      </c>
      <c r="B21" s="18" t="n">
        <f aca="false">COUNTIF(アタックリスト!$M$2:$M$305,A21)</f>
        <v>0</v>
      </c>
    </row>
    <row r="22" customFormat="false" ht="15" hidden="false" customHeight="false" outlineLevel="0" collapsed="false">
      <c r="A22" s="17" t="s">
        <v>568</v>
      </c>
      <c r="B22" s="18" t="n">
        <f aca="false">COUNTIF(アタックリスト!$M$2:$M$305,A22)</f>
        <v>0</v>
      </c>
    </row>
    <row r="24" customFormat="false" ht="15" hidden="false" customHeight="false" outlineLevel="0" collapsed="false">
      <c r="A24" s="2" t="s">
        <v>569</v>
      </c>
      <c r="H24" s="1" t="n">
        <f aca="false">H11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21" t="s">
        <v>570</v>
      </c>
    </row>
    <row r="2" customFormat="false" ht="15" hidden="false" customHeight="false" outlineLevel="0" collapsed="false">
      <c r="A2" s="22" t="s">
        <v>571</v>
      </c>
      <c r="B2" s="23" t="s">
        <v>572</v>
      </c>
    </row>
    <row r="3" customFormat="false" ht="15" hidden="false" customHeight="false" outlineLevel="0" collapsed="false">
      <c r="A3" s="22" t="s">
        <v>573</v>
      </c>
      <c r="B3" s="24" t="s">
        <v>574</v>
      </c>
    </row>
    <row r="4" customFormat="false" ht="15" hidden="false" customHeight="false" outlineLevel="0" collapsed="false">
      <c r="A4" s="22" t="s">
        <v>575</v>
      </c>
      <c r="B4" s="24" t="s">
        <v>576</v>
      </c>
    </row>
    <row r="5" customFormat="false" ht="15" hidden="false" customHeight="false" outlineLevel="0" collapsed="false">
      <c r="A5" s="22" t="s">
        <v>577</v>
      </c>
      <c r="B5" s="23" t="s">
        <v>578</v>
      </c>
    </row>
    <row r="6" customFormat="false" ht="15" hidden="false" customHeight="false" outlineLevel="0" collapsed="false">
      <c r="A6" s="22" t="s">
        <v>579</v>
      </c>
      <c r="B6" s="23" t="s">
        <v>580</v>
      </c>
    </row>
    <row r="7" customFormat="false" ht="15" hidden="false" customHeight="false" outlineLevel="0" collapsed="false">
      <c r="A7" s="22" t="s">
        <v>581</v>
      </c>
      <c r="B7" s="23" t="s">
        <v>582</v>
      </c>
    </row>
    <row r="8" customFormat="false" ht="15" hidden="false" customHeight="false" outlineLevel="0" collapsed="false">
      <c r="A8" s="22" t="s">
        <v>583</v>
      </c>
      <c r="B8" s="23" t="s">
        <v>584</v>
      </c>
    </row>
    <row r="9" customFormat="false" ht="26.85" hidden="false" customHeight="false" outlineLevel="0" collapsed="false">
      <c r="A9" s="22" t="s">
        <v>585</v>
      </c>
      <c r="B9" s="23" t="s">
        <v>586</v>
      </c>
    </row>
    <row r="10" customFormat="false" ht="15" hidden="false" customHeight="false" outlineLevel="0" collapsed="false">
      <c r="A10" s="22" t="s">
        <v>587</v>
      </c>
      <c r="B10" s="24" t="s">
        <v>588</v>
      </c>
    </row>
    <row r="11" customFormat="false" ht="15" hidden="false" customHeight="false" outlineLevel="0" collapsed="false">
      <c r="A11" s="22" t="s">
        <v>589</v>
      </c>
      <c r="B11" s="24" t="s">
        <v>590</v>
      </c>
    </row>
    <row r="12" customFormat="false" ht="15" hidden="false" customHeight="false" outlineLevel="0" collapsed="false">
      <c r="A12" s="21"/>
    </row>
    <row r="13" customFormat="false" ht="15" hidden="false" customHeight="false" outlineLevel="0" collapsed="false">
      <c r="A13" s="25" t="s">
        <v>591</v>
      </c>
    </row>
    <row r="14" customFormat="false" ht="15" hidden="false" customHeight="false" outlineLevel="0" collapsed="false">
      <c r="A14" s="22" t="s">
        <v>592</v>
      </c>
      <c r="B14" s="23" t="s">
        <v>593</v>
      </c>
    </row>
    <row r="15" customFormat="false" ht="15" hidden="false" customHeight="false" outlineLevel="0" collapsed="false">
      <c r="A15" s="26" t="s">
        <v>594</v>
      </c>
      <c r="B15" s="23" t="s">
        <v>595</v>
      </c>
    </row>
    <row r="16" customFormat="false" ht="15" hidden="false" customHeight="false" outlineLevel="0" collapsed="false">
      <c r="A16" s="22" t="s">
        <v>596</v>
      </c>
      <c r="B16" s="23" t="s">
        <v>597</v>
      </c>
    </row>
    <row r="17" customFormat="false" ht="15" hidden="false" customHeight="false" outlineLevel="0" collapsed="false">
      <c r="A17" s="22" t="s">
        <v>598</v>
      </c>
      <c r="B17" s="23" t="s">
        <v>599</v>
      </c>
    </row>
    <row r="18" customFormat="false" ht="15" hidden="false" customHeight="false" outlineLevel="0" collapsed="false">
      <c r="A18" s="21"/>
    </row>
    <row r="19" customFormat="false" ht="15" hidden="false" customHeight="false" outlineLevel="0" collapsed="false">
      <c r="A19" s="25" t="s">
        <v>600</v>
      </c>
    </row>
    <row r="20" customFormat="false" ht="15" hidden="false" customHeight="false" outlineLevel="0" collapsed="false">
      <c r="A20" s="22" t="s">
        <v>601</v>
      </c>
      <c r="B20" s="23" t="s">
        <v>602</v>
      </c>
    </row>
    <row r="21" customFormat="false" ht="15" hidden="false" customHeight="false" outlineLevel="0" collapsed="false">
      <c r="A21" s="22" t="s">
        <v>603</v>
      </c>
      <c r="B21" s="23" t="s">
        <v>604</v>
      </c>
    </row>
    <row r="22" customFormat="false" ht="15" hidden="false" customHeight="false" outlineLevel="0" collapsed="false">
      <c r="A22" s="22" t="s">
        <v>605</v>
      </c>
      <c r="B22" s="23" t="s">
        <v>606</v>
      </c>
    </row>
    <row r="23" customFormat="false" ht="15" hidden="false" customHeight="false" outlineLevel="0" collapsed="false">
      <c r="A23" s="22" t="s">
        <v>607</v>
      </c>
      <c r="B23" s="23" t="s">
        <v>608</v>
      </c>
    </row>
    <row r="24" customFormat="false" ht="15" hidden="false" customHeight="false" outlineLevel="0" collapsed="false">
      <c r="A24" s="22" t="s">
        <v>609</v>
      </c>
      <c r="B24" s="23" t="s">
        <v>610</v>
      </c>
    </row>
    <row r="25" customFormat="false" ht="15" hidden="false" customHeight="false" outlineLevel="0" collapsed="false">
      <c r="A25" s="22" t="s">
        <v>611</v>
      </c>
      <c r="B25" s="23" t="s">
        <v>612</v>
      </c>
    </row>
    <row r="26" customFormat="false" ht="15" hidden="false" customHeight="false" outlineLevel="0" collapsed="false">
      <c r="A26" s="21"/>
    </row>
    <row r="27" customFormat="false" ht="15" hidden="false" customHeight="false" outlineLevel="0" collapsed="false">
      <c r="A27" s="25" t="s">
        <v>613</v>
      </c>
    </row>
    <row r="28" customFormat="false" ht="15" hidden="false" customHeight="false" outlineLevel="0" collapsed="false">
      <c r="A28" s="26" t="s">
        <v>614</v>
      </c>
      <c r="B28" s="24" t="s">
        <v>615</v>
      </c>
    </row>
    <row r="29" customFormat="false" ht="15" hidden="false" customHeight="false" outlineLevel="0" collapsed="false">
      <c r="A29" s="26" t="s">
        <v>614</v>
      </c>
      <c r="B29" s="24" t="s">
        <v>616</v>
      </c>
    </row>
    <row r="30" customFormat="false" ht="15" hidden="false" customHeight="false" outlineLevel="0" collapsed="false">
      <c r="A30" s="22" t="s">
        <v>617</v>
      </c>
      <c r="B30" s="24" t="s">
        <v>618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34"/>
  </cols>
  <sheetData>
    <row r="1" customFormat="false" ht="15" hidden="false" customHeight="false" outlineLevel="0" collapsed="false">
      <c r="A1" s="27" t="s">
        <v>619</v>
      </c>
      <c r="B1" s="27" t="s">
        <v>12</v>
      </c>
      <c r="C1" s="27" t="s">
        <v>620</v>
      </c>
    </row>
    <row r="2" customFormat="false" ht="15" hidden="false" customHeight="false" outlineLevel="0" collapsed="false">
      <c r="A2" s="17" t="s">
        <v>621</v>
      </c>
      <c r="B2" s="17" t="s">
        <v>622</v>
      </c>
      <c r="C2" s="17" t="s">
        <v>623</v>
      </c>
    </row>
    <row r="3" customFormat="false" ht="15" hidden="false" customHeight="false" outlineLevel="0" collapsed="false">
      <c r="A3" s="17" t="s">
        <v>621</v>
      </c>
      <c r="B3" s="17" t="s">
        <v>624</v>
      </c>
      <c r="C3" s="17" t="s">
        <v>625</v>
      </c>
    </row>
    <row r="4" customFormat="false" ht="15" hidden="false" customHeight="false" outlineLevel="0" collapsed="false">
      <c r="A4" s="17" t="s">
        <v>626</v>
      </c>
      <c r="B4" s="17" t="s">
        <v>627</v>
      </c>
      <c r="C4" s="28" t="s">
        <v>628</v>
      </c>
    </row>
    <row r="5" customFormat="false" ht="15" hidden="false" customHeight="false" outlineLevel="0" collapsed="false">
      <c r="A5" s="17" t="s">
        <v>626</v>
      </c>
      <c r="B5" s="17" t="s">
        <v>629</v>
      </c>
      <c r="C5" s="28" t="s">
        <v>630</v>
      </c>
    </row>
    <row r="6" customFormat="false" ht="15" hidden="false" customHeight="false" outlineLevel="0" collapsed="false">
      <c r="A6" s="17" t="s">
        <v>631</v>
      </c>
      <c r="B6" s="17" t="s">
        <v>632</v>
      </c>
      <c r="C6" s="17" t="s">
        <v>633</v>
      </c>
    </row>
    <row r="7" customFormat="false" ht="15" hidden="false" customHeight="false" outlineLevel="0" collapsed="false">
      <c r="A7" s="17" t="s">
        <v>634</v>
      </c>
      <c r="B7" s="17" t="s">
        <v>635</v>
      </c>
      <c r="C7" s="17" t="s">
        <v>636</v>
      </c>
    </row>
    <row r="8" customFormat="false" ht="15" hidden="false" customHeight="false" outlineLevel="0" collapsed="false">
      <c r="A8" s="17" t="s">
        <v>634</v>
      </c>
      <c r="B8" s="17" t="s">
        <v>635</v>
      </c>
      <c r="C8" s="17" t="s">
        <v>637</v>
      </c>
    </row>
    <row r="9" customFormat="false" ht="15" hidden="false" customHeight="false" outlineLevel="0" collapsed="false">
      <c r="A9" s="17" t="s">
        <v>634</v>
      </c>
      <c r="B9" s="17" t="s">
        <v>638</v>
      </c>
      <c r="C9" s="17" t="s">
        <v>639</v>
      </c>
    </row>
    <row r="10" customFormat="false" ht="15" hidden="false" customHeight="false" outlineLevel="0" collapsed="false">
      <c r="A10" s="17" t="s">
        <v>640</v>
      </c>
      <c r="B10" s="17" t="s">
        <v>641</v>
      </c>
      <c r="C10" s="17" t="s">
        <v>642</v>
      </c>
    </row>
    <row r="11" customFormat="false" ht="15" hidden="false" customHeight="false" outlineLevel="0" collapsed="false">
      <c r="A11" s="17" t="s">
        <v>640</v>
      </c>
      <c r="B11" s="17" t="s">
        <v>643</v>
      </c>
      <c r="C11" s="17" t="s">
        <v>644</v>
      </c>
    </row>
    <row r="12" customFormat="false" ht="15" hidden="false" customHeight="false" outlineLevel="0" collapsed="false">
      <c r="A12" s="17" t="s">
        <v>640</v>
      </c>
      <c r="B12" s="17" t="s">
        <v>643</v>
      </c>
      <c r="C12" s="17" t="s">
        <v>645</v>
      </c>
    </row>
    <row r="13" customFormat="false" ht="15" hidden="false" customHeight="false" outlineLevel="0" collapsed="false">
      <c r="A13" s="17" t="s">
        <v>646</v>
      </c>
      <c r="B13" s="17" t="s">
        <v>647</v>
      </c>
      <c r="C13" s="17" t="s">
        <v>648</v>
      </c>
    </row>
    <row r="14" customFormat="false" ht="15" hidden="false" customHeight="false" outlineLevel="0" collapsed="false">
      <c r="A14" s="17" t="s">
        <v>646</v>
      </c>
      <c r="B14" s="17" t="s">
        <v>647</v>
      </c>
      <c r="C14" s="28" t="s">
        <v>649</v>
      </c>
    </row>
    <row r="15" customFormat="false" ht="15" hidden="false" customHeight="false" outlineLevel="0" collapsed="false">
      <c r="A15" s="17" t="s">
        <v>650</v>
      </c>
      <c r="B15" s="17" t="s">
        <v>651</v>
      </c>
      <c r="C15" s="17" t="s">
        <v>652</v>
      </c>
    </row>
    <row r="17" customFormat="false" ht="15" hidden="false" customHeight="false" outlineLevel="0" collapsed="false">
      <c r="A17" s="16" t="s">
        <v>653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2026-10-06T14:01:07Z</dcterms:created>
  <dc:creator>openpyxl</dc:creator>
  <dc:description/>
  <dc:language>en-US</dc:language>
  <cp:lastModifiedBy/>
  <dcterms:modified xsi:type="dcterms:W3CDTF">2026-10-06T14:01:07Z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